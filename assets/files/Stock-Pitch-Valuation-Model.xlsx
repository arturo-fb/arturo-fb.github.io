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fraile/Documents/College/APU Spring Semester 2024-2025/FIN 300/"/>
    </mc:Choice>
  </mc:AlternateContent>
  <xr:revisionPtr revIDLastSave="0" documentId="13_ncr:1_{EAB741C2-0A83-6148-8F15-DFBCBA354207}" xr6:coauthVersionLast="47" xr6:coauthVersionMax="47" xr10:uidLastSave="{00000000-0000-0000-0000-000000000000}"/>
  <bookViews>
    <workbookView xWindow="15200" yWindow="760" windowWidth="14120" windowHeight="17580" activeTab="2" xr2:uid="{F2CD7E62-FCDC-554D-8D12-A305BE353B59}"/>
  </bookViews>
  <sheets>
    <sheet name="Income statement " sheetId="3" r:id="rId1"/>
    <sheet name="Balance Sheet" sheetId="1" r:id="rId2"/>
    <sheet name="Financial Ratios" sheetId="2"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9" i="2" l="1"/>
  <c r="B106" i="2" s="1"/>
  <c r="B92" i="2"/>
  <c r="B109" i="2" s="1"/>
  <c r="B94" i="2"/>
  <c r="B41" i="2"/>
  <c r="B44" i="2" s="1"/>
  <c r="B30" i="2"/>
  <c r="B88" i="2"/>
  <c r="B103" i="2" s="1"/>
  <c r="B97" i="2"/>
  <c r="B100" i="2" s="1"/>
  <c r="B82" i="2"/>
  <c r="B79" i="2"/>
  <c r="B76" i="2"/>
  <c r="B73" i="2"/>
  <c r="B68" i="2"/>
  <c r="B65" i="2"/>
  <c r="B56" i="2"/>
  <c r="B47" i="2"/>
  <c r="B36" i="2"/>
  <c r="B33" i="2"/>
  <c r="D14" i="3"/>
  <c r="D10" i="3"/>
  <c r="C9" i="3"/>
  <c r="C11" i="3" s="1"/>
  <c r="D8" i="3"/>
  <c r="D7" i="3"/>
  <c r="D6" i="3"/>
  <c r="B27" i="2"/>
  <c r="B24" i="2"/>
  <c r="B19" i="2"/>
  <c r="B16" i="2"/>
  <c r="B13" i="2"/>
  <c r="D27" i="1"/>
  <c r="E27" i="1" s="1"/>
  <c r="D22" i="1"/>
  <c r="E22" i="1" s="1"/>
  <c r="D13" i="1"/>
  <c r="D16" i="1" s="1"/>
  <c r="E26" i="1" s="1"/>
  <c r="B27" i="1"/>
  <c r="B22" i="1"/>
  <c r="B13" i="1"/>
  <c r="B16" i="1" s="1"/>
  <c r="B59" i="2" l="1"/>
  <c r="B50" i="2"/>
  <c r="B53" i="2" s="1"/>
  <c r="C12" i="3"/>
  <c r="D12" i="3" s="1"/>
  <c r="D11" i="3"/>
  <c r="D9" i="3"/>
  <c r="C27" i="1"/>
  <c r="C12" i="1"/>
  <c r="C25" i="1"/>
  <c r="C26" i="1"/>
  <c r="F26" i="1" s="1"/>
  <c r="C15" i="1"/>
  <c r="C16" i="1"/>
  <c r="C10" i="1"/>
  <c r="C20" i="1"/>
  <c r="C21" i="1"/>
  <c r="C11" i="1"/>
  <c r="C23" i="1"/>
  <c r="C22" i="1"/>
  <c r="F22" i="1"/>
  <c r="F27" i="1"/>
  <c r="E23" i="1"/>
  <c r="F23" i="1" s="1"/>
  <c r="E11" i="1"/>
  <c r="E25" i="1"/>
  <c r="E12" i="1"/>
  <c r="B28" i="1"/>
  <c r="C28" i="1" s="1"/>
  <c r="E21" i="1"/>
  <c r="F21" i="1" s="1"/>
  <c r="E10" i="1"/>
  <c r="E20" i="1"/>
  <c r="E16" i="1"/>
  <c r="F16" i="1" s="1"/>
  <c r="C13" i="1"/>
  <c r="E15" i="1"/>
  <c r="E13" i="1"/>
  <c r="D28" i="1"/>
  <c r="E28" i="1" s="1"/>
  <c r="F28" i="1" s="1"/>
  <c r="B62" i="2" l="1"/>
  <c r="C13" i="3"/>
  <c r="F13" i="1"/>
  <c r="F12" i="1"/>
  <c r="F20" i="1"/>
  <c r="F10" i="1"/>
  <c r="F15" i="1"/>
  <c r="F25" i="1"/>
  <c r="F11" i="1"/>
  <c r="D13" i="3" l="1"/>
  <c r="C15" i="3"/>
  <c r="D15" i="3" s="1"/>
</calcChain>
</file>

<file path=xl/sharedStrings.xml><?xml version="1.0" encoding="utf-8"?>
<sst xmlns="http://schemas.openxmlformats.org/spreadsheetml/2006/main" count="284" uniqueCount="214">
  <si>
    <t>(in millions)</t>
  </si>
  <si>
    <t>Assets</t>
  </si>
  <si>
    <t>% of Total Assets</t>
  </si>
  <si>
    <t>Current Assets</t>
  </si>
  <si>
    <t>Cash</t>
  </si>
  <si>
    <t>Accounts Receivable</t>
  </si>
  <si>
    <t>Inventory</t>
  </si>
  <si>
    <t>Total</t>
  </si>
  <si>
    <t>Fixed Assets</t>
  </si>
  <si>
    <t>Net Plant and Equipment</t>
  </si>
  <si>
    <t>Total Assets</t>
  </si>
  <si>
    <t xml:space="preserve">Liabilities and Owners Equity </t>
  </si>
  <si>
    <t xml:space="preserve">Current liabilities </t>
  </si>
  <si>
    <t xml:space="preserve">Accounts payable </t>
  </si>
  <si>
    <t xml:space="preserve">Notes payable </t>
  </si>
  <si>
    <t>Long-term debt</t>
  </si>
  <si>
    <t xml:space="preserve">Common stock and Paid-In Surplus </t>
  </si>
  <si>
    <t xml:space="preserve">Retained earnings </t>
  </si>
  <si>
    <t>Total Liabilites and Owners Equity</t>
  </si>
  <si>
    <t xml:space="preserve">Owners equity </t>
  </si>
  <si>
    <t>Change</t>
  </si>
  <si>
    <t>Assets = Liabilities + Stockholders Equity</t>
  </si>
  <si>
    <t>Current Ratio</t>
  </si>
  <si>
    <t>Current Assets/Current Liabilities</t>
  </si>
  <si>
    <t>Quick ratio</t>
  </si>
  <si>
    <t>(Current Assets-Inventory)/Current Liabilities</t>
  </si>
  <si>
    <t>Cash/Current Liabilities</t>
  </si>
  <si>
    <t>Cash Ratio</t>
  </si>
  <si>
    <t>times</t>
  </si>
  <si>
    <t>Total debt ratio</t>
  </si>
  <si>
    <t>(Total Assets-Total Equity)/Total Assets</t>
  </si>
  <si>
    <t>Debt equity ratio</t>
  </si>
  <si>
    <t>Total debt/Total equity</t>
  </si>
  <si>
    <t>Equity multiplier</t>
  </si>
  <si>
    <t>Total Assets/Total Equity</t>
  </si>
  <si>
    <t>Times interest earned ratio</t>
  </si>
  <si>
    <t>(In millons)</t>
  </si>
  <si>
    <t>% of Total Sales</t>
  </si>
  <si>
    <t>Sales</t>
  </si>
  <si>
    <t>Cost of goods sold</t>
  </si>
  <si>
    <t>Depreciation</t>
  </si>
  <si>
    <t>Earnings before interest and taxes</t>
  </si>
  <si>
    <t>Interest paid</t>
  </si>
  <si>
    <t>Taxable income</t>
  </si>
  <si>
    <t>Taxes (21%)</t>
  </si>
  <si>
    <t>Net income</t>
  </si>
  <si>
    <t>Dividends</t>
  </si>
  <si>
    <t>Addition to retained earnings</t>
  </si>
  <si>
    <t>EBIT/Interest</t>
  </si>
  <si>
    <t>Cash coverage ratio</t>
  </si>
  <si>
    <t>(EBIT + Depreciation)/Interest</t>
  </si>
  <si>
    <t>III. Asset Utilization, or turnover, ratios</t>
  </si>
  <si>
    <t>Inventory turnover</t>
  </si>
  <si>
    <t>Cost of goods sold/Inventory</t>
  </si>
  <si>
    <t>Days sales in inventory</t>
  </si>
  <si>
    <t>365 days/inventory turnover</t>
  </si>
  <si>
    <t>Receivables turnover</t>
  </si>
  <si>
    <t>Sales/Accounts receivable</t>
  </si>
  <si>
    <t>Payables turnover</t>
  </si>
  <si>
    <t>Cost of goods sold/Accounts payable</t>
  </si>
  <si>
    <t>Total Asset turnover</t>
  </si>
  <si>
    <t>Sales/total assets</t>
  </si>
  <si>
    <t>Capital intensity</t>
  </si>
  <si>
    <t>Total assets/sales</t>
  </si>
  <si>
    <t>IV. Profitability ratios</t>
  </si>
  <si>
    <t>Profit margin</t>
  </si>
  <si>
    <t>Net income/sales</t>
  </si>
  <si>
    <t>Return on assets (ROA)</t>
  </si>
  <si>
    <t>Net income/total assets</t>
  </si>
  <si>
    <t>Return on equity (ROE)</t>
  </si>
  <si>
    <t>Net income/total equity</t>
  </si>
  <si>
    <t>ROE</t>
  </si>
  <si>
    <t>(Net income/sales)*(Sales/Assets)*(Assets/Equity)</t>
  </si>
  <si>
    <t>V. Market value ratio</t>
  </si>
  <si>
    <t>Price-earnings ratio</t>
  </si>
  <si>
    <t>Price per share/earning per share</t>
  </si>
  <si>
    <t xml:space="preserve">I. Short-Term Solvency (Liquidity) Measures </t>
  </si>
  <si>
    <t>II. Long-Term Solvency Measures , or financial leverage, ratios</t>
  </si>
  <si>
    <t>Good</t>
  </si>
  <si>
    <t>Price per share</t>
  </si>
  <si>
    <t>Earnings per share</t>
  </si>
  <si>
    <t>Net Income/Shares outstanding</t>
  </si>
  <si>
    <t>Shares outstanding</t>
  </si>
  <si>
    <t>Price-sales ratio</t>
  </si>
  <si>
    <t>Price per share/sales per share</t>
  </si>
  <si>
    <t>Market-to-book ratio</t>
  </si>
  <si>
    <t>Market value per share/book value per share</t>
  </si>
  <si>
    <t>EBITDA Ratio</t>
  </si>
  <si>
    <t>Enterprise value/EBITDA</t>
  </si>
  <si>
    <t>Sales per share</t>
  </si>
  <si>
    <t>Book value per share</t>
  </si>
  <si>
    <t xml:space="preserve">times </t>
  </si>
  <si>
    <t>Bad</t>
  </si>
  <si>
    <t xml:space="preserve">The shareholders make 18.06% of what they invest </t>
  </si>
  <si>
    <t>Receivables period</t>
  </si>
  <si>
    <t>365 days/receivables turnover</t>
  </si>
  <si>
    <t xml:space="preserve">Operating cycle </t>
  </si>
  <si>
    <t>Inventory period + accounts receivable period</t>
  </si>
  <si>
    <t>Payable period</t>
  </si>
  <si>
    <t>365 days/payables turnover</t>
  </si>
  <si>
    <t>Cash cycle</t>
  </si>
  <si>
    <t>operating cycle - accounts payable period</t>
  </si>
  <si>
    <t>days</t>
  </si>
  <si>
    <t>dollar</t>
  </si>
  <si>
    <r>
      <rPr>
        <b/>
        <sz val="12"/>
        <color theme="1"/>
        <rFont val="Aptos Narrow"/>
        <scheme val="minor"/>
      </rPr>
      <t>Definition:</t>
    </r>
    <r>
      <rPr>
        <sz val="12"/>
        <color theme="1"/>
        <rFont val="Aptos Narrow"/>
        <family val="2"/>
        <scheme val="minor"/>
      </rPr>
      <t xml:space="preserve"> How many times a company has sold and replaced the inventory within a certain period of time. Usually one fiscal year</t>
    </r>
  </si>
  <si>
    <r>
      <rPr>
        <b/>
        <sz val="12"/>
        <color theme="1"/>
        <rFont val="Aptos Narrow"/>
        <scheme val="minor"/>
      </rPr>
      <t>Definition:</t>
    </r>
    <r>
      <rPr>
        <sz val="12"/>
        <color theme="1"/>
        <rFont val="Aptos Narrow"/>
        <family val="2"/>
        <scheme val="minor"/>
      </rPr>
      <t xml:space="preserve"> The time it takes to sell all the inventory </t>
    </r>
  </si>
  <si>
    <r>
      <rPr>
        <b/>
        <sz val="12"/>
        <color theme="1"/>
        <rFont val="Aptos Narrow"/>
        <scheme val="minor"/>
      </rPr>
      <t xml:space="preserve">Definition: </t>
    </r>
    <r>
      <rPr>
        <sz val="12"/>
        <color theme="1"/>
        <rFont val="Aptos Narrow"/>
        <family val="2"/>
        <scheme val="minor"/>
      </rPr>
      <t xml:space="preserve">How often a company collects money that is owed to them from customer </t>
    </r>
  </si>
  <si>
    <r>
      <rPr>
        <b/>
        <sz val="12"/>
        <color theme="1"/>
        <rFont val="Aptos Narrow"/>
        <scheme val="minor"/>
      </rPr>
      <t xml:space="preserve">Definition: </t>
    </r>
    <r>
      <rPr>
        <sz val="12"/>
        <color theme="1"/>
        <rFont val="Aptos Narrow"/>
        <family val="2"/>
        <scheme val="minor"/>
      </rPr>
      <t xml:space="preserve">Time in days  it takes to our customer to pay us </t>
    </r>
  </si>
  <si>
    <r>
      <rPr>
        <b/>
        <sz val="12"/>
        <color theme="1"/>
        <rFont val="Aptos Narrow"/>
        <scheme val="minor"/>
      </rPr>
      <t>Definition:</t>
    </r>
    <r>
      <rPr>
        <sz val="12"/>
        <color theme="1"/>
        <rFont val="Aptos Narrow"/>
        <family val="2"/>
        <scheme val="minor"/>
      </rPr>
      <t>Time it takes to buy goods, sell them and receive the payment</t>
    </r>
  </si>
  <si>
    <r>
      <rPr>
        <b/>
        <sz val="12"/>
        <color theme="1"/>
        <rFont val="Aptos Narrow"/>
        <scheme val="minor"/>
      </rPr>
      <t xml:space="preserve">Definition: </t>
    </r>
    <r>
      <rPr>
        <sz val="12"/>
        <color theme="1"/>
        <rFont val="Aptos Narrow"/>
        <family val="2"/>
        <scheme val="minor"/>
      </rPr>
      <t>The avarege time it takes to pay our suppiers</t>
    </r>
  </si>
  <si>
    <r>
      <rPr>
        <b/>
        <sz val="12"/>
        <color theme="1"/>
        <rFont val="Aptos Narrow"/>
        <scheme val="minor"/>
      </rPr>
      <t xml:space="preserve">Definition: </t>
    </r>
    <r>
      <rPr>
        <sz val="12"/>
        <color theme="1"/>
        <rFont val="Aptos Narrow"/>
        <family val="2"/>
        <scheme val="minor"/>
      </rPr>
      <t>Time it takes to convert our investment into cash</t>
    </r>
  </si>
  <si>
    <r>
      <rPr>
        <b/>
        <sz val="12"/>
        <color theme="1"/>
        <rFont val="Aptos Narrow"/>
        <scheme val="minor"/>
      </rPr>
      <t xml:space="preserve">Definition: </t>
    </r>
    <r>
      <rPr>
        <sz val="12"/>
        <color theme="1"/>
        <rFont val="Aptos Narrow"/>
        <family val="2"/>
        <scheme val="minor"/>
      </rPr>
      <t>Efficiency of a company using their assets to produce sales</t>
    </r>
  </si>
  <si>
    <r>
      <rPr>
        <b/>
        <sz val="12"/>
        <color theme="1"/>
        <rFont val="Aptos Narrow"/>
        <scheme val="minor"/>
      </rPr>
      <t>Definition:</t>
    </r>
    <r>
      <rPr>
        <sz val="12"/>
        <color theme="1"/>
        <rFont val="Aptos Narrow"/>
        <family val="2"/>
        <scheme val="minor"/>
      </rPr>
      <t xml:space="preserve"> Measures how much profit a company makes of the revenue</t>
    </r>
  </si>
  <si>
    <r>
      <rPr>
        <b/>
        <sz val="12"/>
        <color theme="1"/>
        <rFont val="Aptos Narrow"/>
        <scheme val="minor"/>
      </rPr>
      <t xml:space="preserve">Definition: </t>
    </r>
    <r>
      <rPr>
        <sz val="12"/>
        <color theme="1"/>
        <rFont val="Aptos Narrow"/>
        <family val="2"/>
        <scheme val="minor"/>
      </rPr>
      <t>A mesure of how efficiently a company uses it assets to generate profit</t>
    </r>
  </si>
  <si>
    <r>
      <rPr>
        <b/>
        <sz val="12"/>
        <color theme="1"/>
        <rFont val="Aptos Narrow"/>
        <scheme val="minor"/>
      </rPr>
      <t>Definition:</t>
    </r>
    <r>
      <rPr>
        <sz val="12"/>
        <color theme="1"/>
        <rFont val="Aptos Narrow"/>
        <family val="2"/>
        <scheme val="minor"/>
      </rPr>
      <t xml:space="preserve"> A measure of how effectively a company uses shareholder equity to generate profit</t>
    </r>
  </si>
  <si>
    <r>
      <rPr>
        <b/>
        <sz val="12"/>
        <color theme="1"/>
        <rFont val="Aptos Narrow"/>
        <scheme val="minor"/>
      </rPr>
      <t>Definition:</t>
    </r>
    <r>
      <rPr>
        <sz val="12"/>
        <color theme="1"/>
        <rFont val="Aptos Narrow"/>
        <family val="2"/>
        <scheme val="minor"/>
      </rPr>
      <t xml:space="preserve"> How efficiently the firm uses it assets and how efficiently the firm manages the operations</t>
    </r>
  </si>
  <si>
    <r>
      <rPr>
        <b/>
        <sz val="12"/>
        <color theme="1"/>
        <rFont val="Aptos Narrow"/>
        <scheme val="minor"/>
      </rPr>
      <t>Definition:</t>
    </r>
    <r>
      <rPr>
        <sz val="12"/>
        <color theme="1"/>
        <rFont val="Aptos Narrow"/>
        <family val="2"/>
        <scheme val="minor"/>
      </rPr>
      <t xml:space="preserve"> financial metrics that takes companies stock price that compares to other businesses in the industry</t>
    </r>
  </si>
  <si>
    <r>
      <rPr>
        <b/>
        <sz val="12"/>
        <color theme="1"/>
        <rFont val="Aptos Narrow"/>
        <scheme val="minor"/>
      </rPr>
      <t>Definition:</t>
    </r>
    <r>
      <rPr>
        <sz val="12"/>
        <color theme="1"/>
        <rFont val="Aptos Narrow"/>
        <family val="2"/>
        <scheme val="minor"/>
      </rPr>
      <t xml:space="preserve"> company's profit per every share of common stock</t>
    </r>
  </si>
  <si>
    <r>
      <t xml:space="preserve">Definition: </t>
    </r>
    <r>
      <rPr>
        <sz val="12"/>
        <color theme="1"/>
        <rFont val="Aptos Narrow"/>
        <scheme val="minor"/>
      </rPr>
      <t>how much investors are willing to pay for each dollar a company makes by comparing the price they are paying against the earning they are getting for the price they have paid</t>
    </r>
  </si>
  <si>
    <r>
      <rPr>
        <b/>
        <sz val="12"/>
        <color theme="1"/>
        <rFont val="Aptos Narrow"/>
        <scheme val="minor"/>
      </rPr>
      <t>Definition:</t>
    </r>
    <r>
      <rPr>
        <sz val="12"/>
        <color theme="1"/>
        <rFont val="Aptos Narrow"/>
        <family val="2"/>
        <scheme val="minor"/>
      </rPr>
      <t xml:space="preserve"> </t>
    </r>
  </si>
  <si>
    <r>
      <t xml:space="preserve">Definition: </t>
    </r>
    <r>
      <rPr>
        <sz val="12"/>
        <color theme="1"/>
        <rFont val="Aptos Narrow"/>
        <scheme val="minor"/>
      </rPr>
      <t>we are comparing how the market is valuating the stock price against the orginal value that the books say it's worth. If &gt; 1 successful creating value. If &lt; 1 not successful</t>
    </r>
    <r>
      <rPr>
        <b/>
        <sz val="12"/>
        <color theme="1"/>
        <rFont val="Aptos Narrow"/>
        <scheme val="minor"/>
      </rPr>
      <t xml:space="preserve">. </t>
    </r>
    <r>
      <rPr>
        <sz val="12"/>
        <color theme="1"/>
        <rFont val="Aptos Narrow"/>
        <scheme val="minor"/>
      </rPr>
      <t>Page 65 book</t>
    </r>
  </si>
  <si>
    <t>Enterprise value</t>
  </si>
  <si>
    <t>Market Cap + Total Debt - Cash</t>
  </si>
  <si>
    <t>EBITDA</t>
  </si>
  <si>
    <t>Net Income + Interest + Taxes + Depreciation + Amortization</t>
  </si>
  <si>
    <t>Financial Ratios. Prufuck Corporation. Year 2022</t>
  </si>
  <si>
    <t>Links</t>
  </si>
  <si>
    <t>Interpretation</t>
  </si>
  <si>
    <t>G/B</t>
  </si>
  <si>
    <t>FullRatio</t>
  </si>
  <si>
    <r>
      <t xml:space="preserve">Definition: </t>
    </r>
    <r>
      <rPr>
        <sz val="12"/>
        <color theme="1"/>
        <rFont val="Aptos Narrow"/>
        <scheme val="minor"/>
      </rPr>
      <t>current ratio is a measure of short-term liquidity</t>
    </r>
    <r>
      <rPr>
        <b/>
        <sz val="12"/>
        <color theme="1"/>
        <rFont val="Aptos Narrow"/>
        <scheme val="minor"/>
      </rPr>
      <t xml:space="preserve">. </t>
    </r>
    <r>
      <rPr>
        <sz val="12"/>
        <color theme="1"/>
        <rFont val="Aptos Narrow"/>
        <scheme val="minor"/>
      </rPr>
      <t>The higher the current ratio the better because it indicates liquidity</t>
    </r>
  </si>
  <si>
    <r>
      <rPr>
        <b/>
        <sz val="12"/>
        <color theme="1"/>
        <rFont val="Aptos Narrow"/>
        <scheme val="minor"/>
      </rPr>
      <t>Definition:</t>
    </r>
    <r>
      <rPr>
        <sz val="12"/>
        <color theme="1"/>
        <rFont val="Aptos Narrow"/>
        <family val="2"/>
        <scheme val="minor"/>
      </rPr>
      <t xml:space="preserve"> </t>
    </r>
    <r>
      <rPr>
        <sz val="12"/>
        <color theme="1"/>
        <rFont val="Aptos Narrow"/>
        <scheme val="minor"/>
      </rPr>
      <t>the total market the value of the stock plus the total debt minus cash</t>
    </r>
  </si>
  <si>
    <r>
      <rPr>
        <b/>
        <sz val="12"/>
        <color theme="1"/>
        <rFont val="Aptos Narrow"/>
        <scheme val="minor"/>
      </rPr>
      <t>Definition:</t>
    </r>
    <r>
      <rPr>
        <sz val="12"/>
        <color theme="1"/>
        <rFont val="Aptos Narrow"/>
        <family val="2"/>
        <scheme val="minor"/>
      </rPr>
      <t xml:space="preserve"> Inventory is often the least liquid current asset. To further evaluate liquidity, the quick ratio is computed like the current ratio, except inventory is omitted</t>
    </r>
  </si>
  <si>
    <r>
      <rPr>
        <b/>
        <sz val="12"/>
        <color theme="1"/>
        <rFont val="Aptos Narrow"/>
        <scheme val="minor"/>
      </rPr>
      <t xml:space="preserve">Definition: </t>
    </r>
    <r>
      <rPr>
        <sz val="12"/>
        <color theme="1"/>
        <rFont val="Aptos Narrow"/>
        <family val="2"/>
        <scheme val="minor"/>
      </rPr>
      <t>How much money a company needs to generate money in sells</t>
    </r>
  </si>
  <si>
    <r>
      <rPr>
        <b/>
        <sz val="12"/>
        <color theme="1"/>
        <rFont val="Aptos Narrow"/>
        <scheme val="minor"/>
      </rPr>
      <t>Definition:</t>
    </r>
    <r>
      <rPr>
        <sz val="12"/>
        <color theme="1"/>
        <rFont val="Aptos Narrow"/>
        <family val="2"/>
        <scheme val="minor"/>
      </rPr>
      <t xml:space="preserve"> </t>
    </r>
    <r>
      <rPr>
        <sz val="12"/>
        <color theme="1"/>
        <rFont val="Aptos Narrow"/>
        <scheme val="minor"/>
      </rPr>
      <t>short-term creditors are interested in this one. It is the ability of the company to meet the short-term liabilities by using only cash and other cash equivilants which are the most liquid assets</t>
    </r>
  </si>
  <si>
    <t>Standard</t>
  </si>
  <si>
    <t>No ideal number, a ratio of not lower than 0.5 to 1 is usually preferred</t>
  </si>
  <si>
    <t>Cash it is only 17.88% compared to the current liabilities. According to the standard this ratio would be bad because the ideal is not below 0.5 and this one is 0.17 making it fall way behind the number 0.5</t>
  </si>
  <si>
    <t>Corporate Finance Institute</t>
  </si>
  <si>
    <r>
      <rPr>
        <b/>
        <sz val="12"/>
        <color theme="1"/>
        <rFont val="Aptos Narrow"/>
        <scheme val="minor"/>
      </rPr>
      <t>Definition:</t>
    </r>
    <r>
      <rPr>
        <sz val="12"/>
        <color theme="1"/>
        <rFont val="Aptos Narrow"/>
        <family val="2"/>
        <scheme val="minor"/>
      </rPr>
      <t xml:space="preserve"> </t>
    </r>
    <r>
      <rPr>
        <sz val="12"/>
        <color theme="1"/>
        <rFont val="Aptos Narrow"/>
        <scheme val="minor"/>
      </rPr>
      <t>it is the total amount of assets a company has compared to the total amount of liabilities. The reason why you substract Total Equity from Total Assets is to calculate the total number of Total Liabilities considering short-term and long-term on the balance sheet</t>
    </r>
  </si>
  <si>
    <t>Ready Ratios</t>
  </si>
  <si>
    <t xml:space="preserve">Average 0.49 </t>
  </si>
  <si>
    <r>
      <t xml:space="preserve">Definition: </t>
    </r>
    <r>
      <rPr>
        <sz val="12"/>
        <color theme="1"/>
        <rFont val="Aptos Narrow"/>
        <scheme val="minor"/>
      </rPr>
      <t>calculates the weight of total debt including long-term and short-term against total shareholders’ equity</t>
    </r>
  </si>
  <si>
    <t>For every current asset minus the inventory there is double the liabilities. Average on the industry 1.08</t>
  </si>
  <si>
    <t>Above 1.08 is good</t>
  </si>
  <si>
    <t>Above 2.17 is good</t>
  </si>
  <si>
    <t>The Total Debt Ratio for P Corp is 0.28 in debt for evert dollar in total assets. The average in the industry is set to be 0.49, thefore this ratio is very good for P Corp because it means a smaller amount of liabilities compared to their assents making them a pretty solvent company in the long-term</t>
  </si>
  <si>
    <t>For every 1.290 dollar in current asset there is $1 in liabilities. Average on the industry is 2.17 which makes this ratio being below this number, which is not ideal</t>
  </si>
  <si>
    <t>Average on the industry 57.99%</t>
  </si>
  <si>
    <r>
      <t xml:space="preserve">Definition: </t>
    </r>
    <r>
      <rPr>
        <sz val="12"/>
        <color theme="1"/>
        <rFont val="Aptos Narrow"/>
        <scheme val="minor"/>
      </rPr>
      <t>measures the portion of the company’s assets that are financed by equity</t>
    </r>
    <r>
      <rPr>
        <b/>
        <sz val="12"/>
        <color theme="1"/>
        <rFont val="Aptos Narrow"/>
        <scheme val="minor"/>
      </rPr>
      <t xml:space="preserve">. </t>
    </r>
    <r>
      <rPr>
        <sz val="12"/>
        <color theme="1"/>
        <rFont val="Aptos Narrow"/>
        <scheme val="minor"/>
      </rPr>
      <t>This ratio tells us the level of debt financing that a company has used to acquire assets and maintain operations</t>
    </r>
    <r>
      <rPr>
        <b/>
        <sz val="12"/>
        <color theme="1"/>
        <rFont val="Aptos Narrow"/>
        <scheme val="minor"/>
      </rPr>
      <t xml:space="preserve">. </t>
    </r>
    <r>
      <rPr>
        <sz val="12"/>
        <color theme="1"/>
        <rFont val="Aptos Narrow"/>
        <scheme val="minor"/>
      </rPr>
      <t>A higher ratio indicates that a significant portion of the firm assets are financed by debt, howver if it is too low means that the firm is unable to obtain money from leanders or the just avoid the use of debt to acquire assets</t>
    </r>
  </si>
  <si>
    <t>NYU</t>
  </si>
  <si>
    <t>The company has 38% of debt compared to the equity. Below the average of industry which means that is good because the use less debt to finance themselves. A higher ratio is associated with risk, howver P Corp is below the risk that this industry holds</t>
  </si>
  <si>
    <t>For every dollar of equity P Corp has $1.38 in assets. This ratio has its pros and cons for P Corp because it is true that it is lower than the average in the industry which is 1.58 meaning less financial risk and more equity</t>
  </si>
  <si>
    <t>Average on the industry 1.58</t>
  </si>
  <si>
    <r>
      <rPr>
        <b/>
        <sz val="12"/>
        <color theme="1"/>
        <rFont val="Aptos Narrow"/>
        <scheme val="minor"/>
      </rPr>
      <t xml:space="preserve">Definition: </t>
    </r>
    <r>
      <rPr>
        <sz val="12"/>
        <color theme="1"/>
        <rFont val="Aptos Narrow"/>
        <scheme val="minor"/>
      </rPr>
      <t>this ratio is a</t>
    </r>
    <r>
      <rPr>
        <sz val="12"/>
        <color theme="1"/>
        <rFont val="Aptos Narrow"/>
        <family val="2"/>
        <scheme val="minor"/>
      </rPr>
      <t xml:space="preserve"> </t>
    </r>
    <r>
      <rPr>
        <sz val="12"/>
        <color theme="1"/>
        <rFont val="Aptos Narrow"/>
        <scheme val="minor"/>
      </rPr>
      <t>common measure of long-term solvency. This ratio measures how well a company has its interest obligations covered. Usually the higher the ratio the better</t>
    </r>
  </si>
  <si>
    <r>
      <rPr>
        <b/>
        <sz val="12"/>
        <color rgb="FF000000"/>
        <rFont val="Aptos Narrow (Body)"/>
      </rPr>
      <t>Definition:</t>
    </r>
    <r>
      <rPr>
        <sz val="12"/>
        <color rgb="FF000000"/>
        <rFont val="Aptos Narrow (Body)"/>
      </rPr>
      <t xml:space="preserve"> used to compare the company’s cash balance to its annual interest expense.  This is a very conservative metric, as it compares only cash on hand (no other assets) to the interest expense the company has relative to its debt.</t>
    </r>
  </si>
  <si>
    <t>Average on the industry 3.03</t>
  </si>
  <si>
    <t>The company makes 5.25 times more the interest the have to pay. The average ratio for the industry is 3.03 . The ratio for P Corp is pretty good compared to the industry, however is also condidered high because a very high ratio is a sign of having cash stopped and not investing it for the growth of the company</t>
  </si>
  <si>
    <t>Average on the industry 3.23</t>
  </si>
  <si>
    <t>The company has 7.21 times more cash than the interest they have to pay. They can pay up to 7.2 times the interest they have to pay with the cash and only cash not taking into consideration other assets to pay their interest. Way above the industry, good ratio</t>
  </si>
  <si>
    <t>The company replaces the inventory 3.18 times over the year. Overstocking. The average on the industry is at 759 which makes P Corp very bad in this ratio since they take very long time to replace their inventory compared to their competitors</t>
  </si>
  <si>
    <t>Average on the industry 759</t>
  </si>
  <si>
    <t>Its takes 115 days to sell all the inventory. This one is corralated to inventory turnover. The average on the industry would be at 0.48 meaning that P Corp is too slow</t>
  </si>
  <si>
    <t>Average on the industry 0.48</t>
  </si>
  <si>
    <t>Average on the industry 385</t>
  </si>
  <si>
    <t>On average the company collects their accounts receivable 12.55 times per year. P Corp again is very slow to do this since their competitors are at very high-performance ratios on an average of 385</t>
  </si>
  <si>
    <t>Our customer took an average of 29 days to pay us. Again this one is correlated to the receivables turnover ratio and the receivables period is very slow since the average is at 0.94</t>
  </si>
  <si>
    <t>Average on the industry 0.94</t>
  </si>
  <si>
    <t>Average on the industry 1.42</t>
  </si>
  <si>
    <t>On average it took us 144 days since the day we bought the inventory we sold it all and received the payment. Once again very bad ratio being very slow collecting because the average on the industry is at 1.42</t>
  </si>
  <si>
    <r>
      <rPr>
        <b/>
        <sz val="12"/>
        <color theme="1"/>
        <rFont val="Aptos Narrow"/>
        <scheme val="minor"/>
      </rPr>
      <t xml:space="preserve">Definition: </t>
    </r>
    <r>
      <rPr>
        <sz val="12"/>
        <color theme="1"/>
        <rFont val="Aptos Narrow"/>
        <family val="2"/>
        <scheme val="minor"/>
      </rPr>
      <t>How many times are paid our debts within a specific period of time. Usually a fiscal year</t>
    </r>
  </si>
  <si>
    <t>Zycus</t>
  </si>
  <si>
    <t xml:space="preserve">This means suppliers are paid 3.9 times a year. Good ratio between 8-10. </t>
  </si>
  <si>
    <t>Average between 8-10</t>
  </si>
  <si>
    <t>No link. I calculated myself summing F44 and F49 to get the average</t>
  </si>
  <si>
    <t>Could not find a breakdown of a table for each industry, however according to this source an ideal average would be from 8 to 10</t>
  </si>
  <si>
    <t>It took us an average of 93 days to pay off our bills. This one correlates to payables turnover, therefore this one is bad too</t>
  </si>
  <si>
    <t>Average 35 to 45</t>
  </si>
  <si>
    <t>No link. I calculated myself summing F53 and F59 to get the average</t>
  </si>
  <si>
    <t>Average between -33.58 and -44.58</t>
  </si>
  <si>
    <t>There is a 50 day delay since the day we pay for the merchandise to the time we collect the sale. P Corp again is slow here since the average on the marke is --33.58 and 44.58 which means that the inventory is sold before you have to pay for it</t>
  </si>
  <si>
    <t>Average 151,711</t>
  </si>
  <si>
    <t>The company makes 0.65 for every dollar of assets</t>
  </si>
  <si>
    <t>BLS</t>
  </si>
  <si>
    <t>Average is 3.3</t>
  </si>
  <si>
    <t>The company needs $1.54 to make a $1 in sells. This ratio is better than the industry because it means that P Corp needs half the money to make one dollar on sales</t>
  </si>
  <si>
    <t>Average is 20.4% or 0.204</t>
  </si>
  <si>
    <t>The company keeps $0.20 of everything that they make as a revenue. Or 20% of what they make. This ratio is good compared to the industry since it is very similar to their competitors</t>
  </si>
  <si>
    <t>Full Ratio</t>
  </si>
  <si>
    <t xml:space="preserve">Average is 1.6 </t>
  </si>
  <si>
    <t>The company generates 13.06% return on total assets. The average chemical company makes 160% of return which makes P Corp once again fall behind their competitors</t>
  </si>
  <si>
    <t>Average 6.37%</t>
  </si>
  <si>
    <t>The shareholders make 18.06% of what they invest while the average makes 6.37%, it is a profitable company for investors</t>
  </si>
  <si>
    <r>
      <t xml:space="preserve">Definition: </t>
    </r>
    <r>
      <rPr>
        <sz val="12"/>
        <color theme="1"/>
        <rFont val="Aptos Narrow"/>
        <scheme val="minor"/>
      </rPr>
      <t>are the earning before taxes, interest, taxes, depreciation, and amortization</t>
    </r>
  </si>
  <si>
    <t>Average 55.69</t>
  </si>
  <si>
    <t>IDX</t>
  </si>
  <si>
    <t>For each otustanding share the company made 14 dollars while the average for the industry is 55.69. P Corp is making less out of their shares than their competitors</t>
  </si>
  <si>
    <t>Average is 15.75</t>
  </si>
  <si>
    <t>For every dollar of earnings the company generates, shareholders are investing  8 dollars. This is a good ratio for P Corp because means that investors have to pay less to make one dollar of profit compared to the rest of the industry</t>
  </si>
  <si>
    <t>Average is 0.70</t>
  </si>
  <si>
    <t>For every dollar of sales the company makes, investors are willing to pay 1.60 for their stock. The company is overvalue because you can invest in the average company for 0.7 instead of 1.6</t>
  </si>
  <si>
    <r>
      <rPr>
        <b/>
        <sz val="12"/>
        <color theme="1"/>
        <rFont val="Aptos Narrow"/>
        <scheme val="minor"/>
      </rPr>
      <t>Definition:</t>
    </r>
    <r>
      <rPr>
        <sz val="12"/>
        <color theme="1"/>
        <rFont val="Aptos Narrow"/>
        <family val="2"/>
        <scheme val="minor"/>
      </rPr>
      <t xml:space="preserve"> </t>
    </r>
    <r>
      <rPr>
        <sz val="12"/>
        <color theme="1"/>
        <rFont val="Aptos Narrow"/>
        <scheme val="minor"/>
      </rPr>
      <t>is a formula used to measure the total value that investors place on the company in comparison to the total revenue generated by the business. It helps investors know how much they are truly paying for the company</t>
    </r>
  </si>
  <si>
    <t>Average 1.61</t>
  </si>
  <si>
    <t>The company's stock price is worth 1.44 times the book value. While is below the average is still a solid ratio</t>
  </si>
  <si>
    <t>Average 7.97</t>
  </si>
  <si>
    <r>
      <t xml:space="preserve">The total value of the company is 4.62 times greater than the operating </t>
    </r>
    <r>
      <rPr>
        <b/>
        <sz val="12"/>
        <color theme="1"/>
        <rFont val="Aptos Narrow"/>
        <scheme val="minor"/>
      </rPr>
      <t>cash flow</t>
    </r>
    <r>
      <rPr>
        <sz val="12"/>
        <color theme="1"/>
        <rFont val="Aptos Narrow"/>
        <family val="2"/>
        <scheme val="minor"/>
      </rPr>
      <t xml:space="preserve"> generated by the company. Cash flow because we are taking into consideration non-cash items such as amortization, depreciation, interest, and taxes. This is a bad ratio for P Corp because the average in the industry has 7.97 ratio, therefor P Corp is behind the rest of the companies in the industry</t>
    </r>
  </si>
  <si>
    <t>Common Financial Ratios</t>
  </si>
  <si>
    <t xml:space="preserve">Interpretations: assuming that Prufruck Corporation is a Chemical (basic) company. The interpretation and the standards found for the ratios if they are either good or bad are based on the information I have pulled from NYU Stern Data website, Full Ratio website, Ready Ratios website, the Corporate Finance Institute, Zycrus, the U.S. Bureau of Labor Statistics, and the Indonesian Stock Exchange. 
Furthermore, the definitions are based on the class discussions and what was talked between students and the Professor. Besides basing my definitions on other trust worthy sources such as the Essential of Corporate Finance Book and other reputational sources such as Investopedia and the Corporate Finance Institute to provide more insight to the definitions I have generated. </t>
  </si>
  <si>
    <t>I know that the information I have pulled for the standards might not be the best type of information, mainly because the information is based on the financial statements from publicaly traded companies which are not proportional in dimension to other small companies as can be Prufruck Corporation</t>
  </si>
  <si>
    <t>Extra Notes</t>
  </si>
  <si>
    <t>JP Morgan</t>
  </si>
  <si>
    <t xml:space="preserve">2024 Income Statement </t>
  </si>
  <si>
    <t>JP Morgan Chase</t>
  </si>
  <si>
    <t>Balance sheet as of December 31,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</si>
</sst>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quot;$&quot;#,##0.00"/>
    <numFmt numFmtId="166" formatCode="0.0000"/>
  </numFmts>
  <fonts count="16" x14ac:knownFonts="1">
    <font>
      <sz val="12"/>
      <color theme="1"/>
      <name val="Aptos Narrow"/>
      <family val="2"/>
      <scheme val="minor"/>
    </font>
    <font>
      <b/>
      <sz val="12"/>
      <color rgb="FFFA7D00"/>
      <name val="Aptos Narrow"/>
      <family val="2"/>
      <scheme val="minor"/>
    </font>
    <font>
      <b/>
      <sz val="12"/>
      <color theme="1"/>
      <name val="Aptos Narrow"/>
      <family val="2"/>
      <scheme val="minor"/>
    </font>
    <font>
      <sz val="18"/>
      <color theme="1"/>
      <name val="Aptos Narrow"/>
      <family val="2"/>
      <scheme val="minor"/>
    </font>
    <font>
      <b/>
      <sz val="12"/>
      <color theme="1"/>
      <name val="Aptos Narrow"/>
      <scheme val="minor"/>
    </font>
    <font>
      <sz val="12"/>
      <color rgb="FF000000"/>
      <name val="Aptos Narrow (Body)"/>
    </font>
    <font>
      <b/>
      <sz val="15"/>
      <color theme="3"/>
      <name val="Aptos Narrow"/>
      <family val="2"/>
      <scheme val="minor"/>
    </font>
    <font>
      <i/>
      <sz val="12"/>
      <color rgb="FF7F7F7F"/>
      <name val="Aptos Narrow"/>
      <family val="2"/>
      <scheme val="minor"/>
    </font>
    <font>
      <sz val="12"/>
      <color theme="1"/>
      <name val="Aptos Narrow"/>
      <scheme val="minor"/>
    </font>
    <font>
      <u/>
      <sz val="12"/>
      <color theme="10"/>
      <name val="Aptos Narrow"/>
      <family val="2"/>
      <scheme val="minor"/>
    </font>
    <font>
      <sz val="12"/>
      <color theme="1"/>
      <name val="Aptos Narrow"/>
      <family val="2"/>
      <scheme val="minor"/>
    </font>
    <font>
      <b/>
      <sz val="12"/>
      <color rgb="FF000000"/>
      <name val="Aptos Narrow (Body)"/>
    </font>
    <font>
      <b/>
      <sz val="36"/>
      <color theme="3"/>
      <name val="Aptos Narrow"/>
      <family val="2"/>
      <scheme val="minor"/>
    </font>
    <font>
      <sz val="16"/>
      <color theme="1"/>
      <name val="Aptos Narrow"/>
      <scheme val="minor"/>
    </font>
    <font>
      <i/>
      <sz val="15"/>
      <color rgb="FF7F7F7F"/>
      <name val="Aptos Narrow"/>
      <family val="2"/>
      <scheme val="minor"/>
    </font>
    <font>
      <b/>
      <sz val="28"/>
      <color theme="3"/>
      <name val="Aptos Narrow"/>
      <family val="2"/>
      <scheme val="minor"/>
    </font>
  </fonts>
  <fills count="6">
    <fill>
      <patternFill patternType="none"/>
    </fill>
    <fill>
      <patternFill patternType="gray125"/>
    </fill>
    <fill>
      <patternFill patternType="solid">
        <fgColor rgb="FFF2F2F2"/>
      </patternFill>
    </fill>
    <fill>
      <patternFill patternType="solid">
        <fgColor rgb="FF00B0F0"/>
        <bgColor indexed="64"/>
      </patternFill>
    </fill>
    <fill>
      <patternFill patternType="solid">
        <fgColor rgb="FFFFFF00"/>
        <bgColor indexed="64"/>
      </patternFill>
    </fill>
    <fill>
      <patternFill patternType="solid">
        <fgColor rgb="FFFFFFCC"/>
      </patternFill>
    </fill>
  </fills>
  <borders count="23">
    <border>
      <left/>
      <right/>
      <top/>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medium">
        <color indexed="64"/>
      </bottom>
      <diagonal/>
    </border>
    <border>
      <left style="thin">
        <color rgb="FF7F7F7F"/>
      </left>
      <right style="thin">
        <color rgb="FF7F7F7F"/>
      </right>
      <top/>
      <bottom style="medium">
        <color indexed="64"/>
      </bottom>
      <diagonal/>
    </border>
    <border>
      <left/>
      <right/>
      <top style="medium">
        <color indexed="64"/>
      </top>
      <bottom style="double">
        <color indexed="64"/>
      </bottom>
      <diagonal/>
    </border>
    <border>
      <left style="thin">
        <color rgb="FF7F7F7F"/>
      </left>
      <right style="thin">
        <color rgb="FF7F7F7F"/>
      </right>
      <top style="medium">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rgb="FF7F7F7F"/>
      </left>
      <right style="thin">
        <color rgb="FF7F7F7F"/>
      </right>
      <top/>
      <bottom style="double">
        <color indexed="64"/>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B2B2B2"/>
      </left>
      <right/>
      <top style="thick">
        <color theme="4"/>
      </top>
      <bottom style="thin">
        <color rgb="FFB2B2B2"/>
      </bottom>
      <diagonal/>
    </border>
    <border>
      <left/>
      <right/>
      <top style="thick">
        <color theme="4"/>
      </top>
      <bottom style="thin">
        <color rgb="FFB2B2B2"/>
      </bottom>
      <diagonal/>
    </border>
    <border>
      <left/>
      <right style="thin">
        <color rgb="FFB2B2B2"/>
      </right>
      <top style="thick">
        <color theme="4"/>
      </top>
      <bottom style="thin">
        <color rgb="FFB2B2B2"/>
      </bottom>
      <diagonal/>
    </border>
  </borders>
  <cellStyleXfs count="6">
    <xf numFmtId="0" fontId="0" fillId="0" borderId="0"/>
    <xf numFmtId="0" fontId="1" fillId="2" borderId="1" applyNumberFormat="0" applyAlignment="0" applyProtection="0"/>
    <xf numFmtId="0" fontId="6" fillId="0" borderId="18" applyNumberFormat="0" applyFill="0" applyAlignment="0" applyProtection="0"/>
    <xf numFmtId="0" fontId="7" fillId="0" borderId="0" applyNumberFormat="0" applyFill="0" applyBorder="0" applyAlignment="0" applyProtection="0"/>
    <xf numFmtId="0" fontId="9" fillId="0" borderId="0" applyNumberFormat="0" applyFill="0" applyBorder="0" applyAlignment="0" applyProtection="0"/>
    <xf numFmtId="0" fontId="10" fillId="5" borderId="19" applyNumberFormat="0" applyFont="0" applyAlignment="0" applyProtection="0"/>
  </cellStyleXfs>
  <cellXfs count="67">
    <xf numFmtId="0" fontId="0" fillId="0" borderId="0" xfId="0"/>
    <xf numFmtId="0" fontId="0" fillId="0" borderId="0" xfId="0" applyAlignment="1">
      <alignment horizontal="left" indent="2"/>
    </xf>
    <xf numFmtId="44" fontId="0" fillId="0" borderId="0" xfId="0" applyNumberFormat="1"/>
    <xf numFmtId="10" fontId="0" fillId="0" borderId="0" xfId="0" applyNumberFormat="1"/>
    <xf numFmtId="164" fontId="1" fillId="2" borderId="1" xfId="1" applyNumberFormat="1"/>
    <xf numFmtId="164" fontId="1" fillId="2" borderId="3" xfId="1" applyNumberFormat="1" applyBorder="1"/>
    <xf numFmtId="0" fontId="0" fillId="0" borderId="2" xfId="0" applyBorder="1" applyAlignment="1">
      <alignment horizontal="left" indent="2"/>
    </xf>
    <xf numFmtId="44" fontId="0" fillId="0" borderId="2" xfId="0" applyNumberFormat="1" applyBorder="1"/>
    <xf numFmtId="164" fontId="1" fillId="2" borderId="4" xfId="1" applyNumberFormat="1" applyBorder="1"/>
    <xf numFmtId="10" fontId="0" fillId="0" borderId="2" xfId="0" applyNumberFormat="1" applyBorder="1"/>
    <xf numFmtId="0" fontId="0" fillId="0" borderId="2" xfId="0" applyBorder="1" applyAlignment="1">
      <alignment horizontal="left" indent="3"/>
    </xf>
    <xf numFmtId="44" fontId="1" fillId="2" borderId="5" xfId="1" applyNumberFormat="1" applyBorder="1"/>
    <xf numFmtId="164" fontId="1" fillId="2" borderId="5" xfId="1" applyNumberFormat="1" applyBorder="1"/>
    <xf numFmtId="0" fontId="0" fillId="0" borderId="2" xfId="0" applyBorder="1"/>
    <xf numFmtId="0" fontId="0" fillId="0" borderId="6" xfId="0" applyBorder="1"/>
    <xf numFmtId="44" fontId="1" fillId="2" borderId="7" xfId="1" applyNumberFormat="1" applyBorder="1"/>
    <xf numFmtId="164" fontId="1" fillId="2" borderId="7" xfId="1" applyNumberFormat="1" applyBorder="1"/>
    <xf numFmtId="10" fontId="0" fillId="0" borderId="6" xfId="0" applyNumberFormat="1" applyBorder="1"/>
    <xf numFmtId="165" fontId="0" fillId="0" borderId="0" xfId="0" applyNumberFormat="1"/>
    <xf numFmtId="10" fontId="1" fillId="2" borderId="1" xfId="1" applyNumberFormat="1"/>
    <xf numFmtId="165" fontId="0" fillId="0" borderId="2" xfId="0" applyNumberFormat="1" applyBorder="1"/>
    <xf numFmtId="165" fontId="1" fillId="2" borderId="1" xfId="1" applyNumberFormat="1"/>
    <xf numFmtId="165" fontId="1" fillId="2" borderId="4" xfId="1" applyNumberFormat="1" applyBorder="1"/>
    <xf numFmtId="10" fontId="1" fillId="2" borderId="4" xfId="1" applyNumberFormat="1" applyBorder="1"/>
    <xf numFmtId="0" fontId="0" fillId="0" borderId="16" xfId="0" applyBorder="1"/>
    <xf numFmtId="165" fontId="1" fillId="2" borderId="17" xfId="1" applyNumberFormat="1" applyBorder="1"/>
    <xf numFmtId="10" fontId="1" fillId="2" borderId="17" xfId="1" applyNumberFormat="1" applyBorder="1"/>
    <xf numFmtId="10" fontId="1" fillId="2" borderId="3" xfId="1" applyNumberFormat="1" applyBorder="1"/>
    <xf numFmtId="0" fontId="0" fillId="4" borderId="0" xfId="0" applyFill="1"/>
    <xf numFmtId="0" fontId="2" fillId="0" borderId="0" xfId="0" applyFont="1"/>
    <xf numFmtId="166" fontId="0" fillId="0" borderId="16" xfId="0" applyNumberFormat="1" applyBorder="1"/>
    <xf numFmtId="166" fontId="0" fillId="0" borderId="0" xfId="0" applyNumberFormat="1"/>
    <xf numFmtId="0" fontId="4" fillId="0" borderId="0" xfId="0" applyFont="1"/>
    <xf numFmtId="2" fontId="0" fillId="0" borderId="16" xfId="0" applyNumberFormat="1" applyBorder="1"/>
    <xf numFmtId="2" fontId="0" fillId="0" borderId="0" xfId="0" applyNumberFormat="1"/>
    <xf numFmtId="0" fontId="8" fillId="0" borderId="16" xfId="0" applyFont="1" applyBorder="1"/>
    <xf numFmtId="0" fontId="0" fillId="0" borderId="0" xfId="0" applyAlignment="1">
      <alignment wrapText="1"/>
    </xf>
    <xf numFmtId="0" fontId="5" fillId="0" borderId="0" xfId="0" applyFont="1" applyAlignment="1">
      <alignment wrapText="1"/>
    </xf>
    <xf numFmtId="0" fontId="8" fillId="0" borderId="0" xfId="0" applyFont="1" applyAlignment="1">
      <alignment wrapText="1"/>
    </xf>
    <xf numFmtId="0" fontId="4" fillId="0" borderId="0" xfId="0" applyFont="1" applyAlignment="1">
      <alignment wrapText="1"/>
    </xf>
    <xf numFmtId="0" fontId="8" fillId="0" borderId="0" xfId="0" applyFont="1"/>
    <xf numFmtId="0" fontId="9" fillId="0" borderId="0" xfId="4" applyAlignment="1">
      <alignment wrapText="1"/>
    </xf>
    <xf numFmtId="0" fontId="4" fillId="0" borderId="0" xfId="0" applyFont="1" applyAlignment="1">
      <alignment vertical="center"/>
    </xf>
    <xf numFmtId="0" fontId="7" fillId="0" borderId="0" xfId="3" applyAlignment="1">
      <alignment vertical="center" wrapText="1"/>
    </xf>
    <xf numFmtId="0" fontId="0" fillId="0" borderId="0" xfId="0" applyAlignment="1">
      <alignment vertical="center" wrapText="1"/>
    </xf>
    <xf numFmtId="0" fontId="0" fillId="5" borderId="19" xfId="5" applyFont="1" applyAlignment="1">
      <alignment wrapText="1"/>
    </xf>
    <xf numFmtId="166" fontId="0" fillId="4" borderId="0" xfId="0" applyNumberFormat="1" applyFill="1"/>
    <xf numFmtId="0" fontId="0" fillId="4" borderId="0" xfId="0" applyFill="1" applyAlignment="1">
      <alignment wrapText="1"/>
    </xf>
    <xf numFmtId="0" fontId="8" fillId="4" borderId="0" xfId="0" applyFont="1" applyFill="1" applyAlignment="1">
      <alignment wrapText="1"/>
    </xf>
    <xf numFmtId="2" fontId="0" fillId="4" borderId="0" xfId="0" applyNumberFormat="1" applyFill="1"/>
    <xf numFmtId="0" fontId="15" fillId="0" borderId="18" xfId="2" applyFont="1"/>
    <xf numFmtId="0" fontId="6" fillId="0" borderId="18" xfId="2" applyFill="1"/>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0" fillId="3" borderId="11" xfId="0" applyFill="1" applyBorder="1" applyAlignment="1">
      <alignment horizontal="center"/>
    </xf>
    <xf numFmtId="0" fontId="0" fillId="3" borderId="0" xfId="0" applyFill="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0" borderId="0" xfId="0" applyAlignment="1">
      <alignment horizontal="center"/>
    </xf>
    <xf numFmtId="0" fontId="12" fillId="0" borderId="18" xfId="2" applyFont="1" applyAlignment="1">
      <alignment horizontal="center"/>
    </xf>
    <xf numFmtId="0" fontId="13" fillId="5" borderId="20" xfId="5" applyFont="1" applyBorder="1" applyAlignment="1">
      <alignment horizontal="center" vertical="center" wrapText="1"/>
    </xf>
    <xf numFmtId="0" fontId="13" fillId="5" borderId="21" xfId="5" applyFont="1" applyBorder="1" applyAlignment="1">
      <alignment horizontal="center" vertical="center" wrapText="1"/>
    </xf>
    <xf numFmtId="0" fontId="13" fillId="5" borderId="22" xfId="5" applyFont="1" applyBorder="1" applyAlignment="1">
      <alignment horizontal="center" vertical="center" wrapText="1"/>
    </xf>
    <xf numFmtId="0" fontId="14" fillId="0" borderId="0" xfId="3" applyFont="1" applyAlignment="1">
      <alignment horizontal="center" vertical="center" wrapText="1"/>
    </xf>
  </cellXfs>
  <cellStyles count="6">
    <cellStyle name="Calculation" xfId="1" builtinId="22"/>
    <cellStyle name="Explanatory Text" xfId="3" builtinId="53"/>
    <cellStyle name="Heading 1" xfId="2" builtinId="16"/>
    <cellStyle name="Hyperlink" xfId="4" builtinId="8"/>
    <cellStyle name="Normal" xfId="0" builtinId="0"/>
    <cellStyle name="Note" xfId="5" builtinId="10"/>
  </cellStyles>
  <dxfs count="5">
    <dxf>
      <font>
        <color auto="1"/>
      </font>
      <fill>
        <patternFill>
          <fgColor auto="1"/>
          <bgColor rgb="FFF9EE95"/>
        </patternFill>
      </fill>
    </dxf>
    <dxf>
      <font>
        <color rgb="FF9C0006"/>
      </font>
      <fill>
        <patternFill>
          <bgColor rgb="FFFFC7CE"/>
        </patternFill>
      </fill>
    </dxf>
    <dxf>
      <font>
        <color rgb="FF006100"/>
      </font>
      <fill>
        <patternFill>
          <bgColor rgb="FFC6EFCE"/>
        </patternFill>
      </fill>
    </dxf>
    <dxf>
      <font>
        <color rgb="FF9C0006"/>
      </font>
    </dxf>
    <dxf>
      <font>
        <color rgb="FF00B050"/>
      </font>
    </dxf>
  </dxfs>
  <tableStyles count="0" defaultTableStyle="TableStyleMedium2" defaultPivotStyle="PivotStyleLight16"/>
  <colors>
    <mruColors>
      <color rgb="FFFFE400"/>
      <color rgb="FFF9EE95"/>
      <color rgb="FFFBE03A"/>
      <color rgb="FFF8EB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pages.stern.nyu.edu/~adamodar/New_Home_Page/datafile/dbtfund.htm" TargetMode="External"/><Relationship Id="rId13" Type="http://schemas.openxmlformats.org/officeDocument/2006/relationships/hyperlink" Target="https://www.zycus.com/blog/accounts-payable/accounts-payable-turnover-ratio" TargetMode="External"/><Relationship Id="rId18" Type="http://schemas.openxmlformats.org/officeDocument/2006/relationships/hyperlink" Target="https://fullratio.com/roa-by-industry" TargetMode="External"/><Relationship Id="rId3" Type="http://schemas.openxmlformats.org/officeDocument/2006/relationships/hyperlink" Target="https://corporatefinanceinstitute.com/resources/accounting/cash-ratio-formula/" TargetMode="External"/><Relationship Id="rId21" Type="http://schemas.openxmlformats.org/officeDocument/2006/relationships/hyperlink" Target="https://idx.co.id/en/market-data/statistical-reports/digital-statistic/monthly/financial-report-and-ratio-of-listed-companies/summary-financial-ratio-by-industry?filter=eyJ5ZWFyIjoiMjAyMyIsIm1vbnRoIjoiMiIsInF1YXJ0ZXIiOjAsInR5cGUiOiJtb250aGx5In0%3D" TargetMode="External"/><Relationship Id="rId7" Type="http://schemas.openxmlformats.org/officeDocument/2006/relationships/hyperlink" Target="https://pages.stern.nyu.edu/~adamodar/New_Home_Page/datafile/dbtfund.htm" TargetMode="External"/><Relationship Id="rId12" Type="http://schemas.openxmlformats.org/officeDocument/2006/relationships/hyperlink" Target="https://www.readyratios.com/sec/ratio/receivables-turnover/?measure=average" TargetMode="External"/><Relationship Id="rId17" Type="http://schemas.openxmlformats.org/officeDocument/2006/relationships/hyperlink" Target="https://fullratio.com/profit-margin-by-industry" TargetMode="External"/><Relationship Id="rId25" Type="http://schemas.openxmlformats.org/officeDocument/2006/relationships/hyperlink" Target="https://pages.stern.nyu.edu/~adamodar/New_Home_Page/datafile/vebitda.html" TargetMode="External"/><Relationship Id="rId2" Type="http://schemas.openxmlformats.org/officeDocument/2006/relationships/hyperlink" Target="https://fullratio.com/quick-ratio-by-industry" TargetMode="External"/><Relationship Id="rId16" Type="http://schemas.openxmlformats.org/officeDocument/2006/relationships/hyperlink" Target="https://fred.stlouisfed.org/series/MPU5800083" TargetMode="External"/><Relationship Id="rId20" Type="http://schemas.openxmlformats.org/officeDocument/2006/relationships/hyperlink" Target="https://pages.stern.nyu.edu/~adamodar/New_Home_Page/datafile/roe.html" TargetMode="External"/><Relationship Id="rId1" Type="http://schemas.openxmlformats.org/officeDocument/2006/relationships/hyperlink" Target="https://fullratio.com/current-ratio-by-industry" TargetMode="External"/><Relationship Id="rId6" Type="http://schemas.openxmlformats.org/officeDocument/2006/relationships/hyperlink" Target="https://pages.stern.nyu.edu/~adamodar/New_Home_Page/datafile/dbtfund.html" TargetMode="External"/><Relationship Id="rId11" Type="http://schemas.openxmlformats.org/officeDocument/2006/relationships/hyperlink" Target="https://www.readyratios.com/sec/ratio/receivables-turnover/?measure=average" TargetMode="External"/><Relationship Id="rId24" Type="http://schemas.openxmlformats.org/officeDocument/2006/relationships/hyperlink" Target="https://pages.stern.nyu.edu/~adamodar/New_Home_Page/datafile/pbvdata.html" TargetMode="External"/><Relationship Id="rId5" Type="http://schemas.openxmlformats.org/officeDocument/2006/relationships/hyperlink" Target="https://pages.stern.nyu.edu/~adamodar/New_Home_Page/datafile/dbtfund.html" TargetMode="External"/><Relationship Id="rId15" Type="http://schemas.openxmlformats.org/officeDocument/2006/relationships/hyperlink" Target="https://www.readyratios.com/sec/ratio/asset-turnover/" TargetMode="External"/><Relationship Id="rId23" Type="http://schemas.openxmlformats.org/officeDocument/2006/relationships/hyperlink" Target="https://pages.stern.nyu.edu/~adamodar/New_Home_Page/datafile/psdata.html" TargetMode="External"/><Relationship Id="rId10" Type="http://schemas.openxmlformats.org/officeDocument/2006/relationships/hyperlink" Target="https://www.readyratios.com/sec/ratio/inventory-turnover/?measure=average" TargetMode="External"/><Relationship Id="rId19" Type="http://schemas.openxmlformats.org/officeDocument/2006/relationships/hyperlink" Target="https://pages.stern.nyu.edu/~adamodar/New_Home_Page/datafile/roe.html" TargetMode="External"/><Relationship Id="rId4" Type="http://schemas.openxmlformats.org/officeDocument/2006/relationships/hyperlink" Target="https://www.readyratios.com/sec/ratio/debt-ratio/" TargetMode="External"/><Relationship Id="rId9" Type="http://schemas.openxmlformats.org/officeDocument/2006/relationships/hyperlink" Target="https://www.readyratios.com/sec/ratio/inventory-turnover/?measure=average" TargetMode="External"/><Relationship Id="rId14" Type="http://schemas.openxmlformats.org/officeDocument/2006/relationships/hyperlink" Target="https://www.zycus.com/blog/accounts-payable/accounts-payable-turnover-ratio" TargetMode="External"/><Relationship Id="rId22" Type="http://schemas.openxmlformats.org/officeDocument/2006/relationships/hyperlink" Target="https://pages.stern.nyu.edu/~adamodar/New_Home_Page/datafile/pedat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7403-6262-614C-AF73-8A7FDA239E65}">
  <dimension ref="A1:D15"/>
  <sheetViews>
    <sheetView zoomScale="165" workbookViewId="0">
      <selection activeCell="A3" sqref="A3:D3"/>
    </sheetView>
  </sheetViews>
  <sheetFormatPr baseColWidth="10" defaultRowHeight="16" x14ac:dyDescent="0.2"/>
  <cols>
    <col min="1" max="1" width="28.6640625" bestFit="1" customWidth="1"/>
    <col min="2" max="2" width="12.1640625" customWidth="1"/>
    <col min="3" max="3" width="13.83203125" customWidth="1"/>
    <col min="4" max="4" width="16.5" customWidth="1"/>
  </cols>
  <sheetData>
    <row r="1" spans="1:4" ht="24" x14ac:dyDescent="0.3">
      <c r="A1" s="52" t="s">
        <v>210</v>
      </c>
      <c r="B1" s="53"/>
      <c r="C1" s="53"/>
      <c r="D1" s="54"/>
    </row>
    <row r="2" spans="1:4" x14ac:dyDescent="0.2">
      <c r="A2" s="55" t="s">
        <v>211</v>
      </c>
      <c r="B2" s="56"/>
      <c r="C2" s="56"/>
      <c r="D2" s="57"/>
    </row>
    <row r="3" spans="1:4" x14ac:dyDescent="0.2">
      <c r="A3" s="58" t="s">
        <v>36</v>
      </c>
      <c r="B3" s="59"/>
      <c r="C3" s="59"/>
      <c r="D3" s="60"/>
    </row>
    <row r="5" spans="1:4" x14ac:dyDescent="0.2">
      <c r="B5" s="61">
        <v>2024</v>
      </c>
      <c r="C5" s="61"/>
      <c r="D5" t="s">
        <v>37</v>
      </c>
    </row>
    <row r="6" spans="1:4" x14ac:dyDescent="0.2">
      <c r="A6" t="s">
        <v>38</v>
      </c>
      <c r="C6" s="18">
        <v>2361</v>
      </c>
      <c r="D6" s="19">
        <f t="shared" ref="D6:D15" si="0">C6/$C$6</f>
        <v>1</v>
      </c>
    </row>
    <row r="7" spans="1:4" x14ac:dyDescent="0.2">
      <c r="A7" t="s">
        <v>39</v>
      </c>
      <c r="C7" s="18">
        <v>1344</v>
      </c>
      <c r="D7" s="19">
        <f t="shared" si="0"/>
        <v>0.56925031766200762</v>
      </c>
    </row>
    <row r="8" spans="1:4" ht="17" thickBot="1" x14ac:dyDescent="0.25">
      <c r="A8" s="13" t="s">
        <v>40</v>
      </c>
      <c r="B8" s="13"/>
      <c r="C8" s="20">
        <v>276</v>
      </c>
      <c r="D8" s="19">
        <f t="shared" si="0"/>
        <v>0.11689961880559085</v>
      </c>
    </row>
    <row r="9" spans="1:4" x14ac:dyDescent="0.2">
      <c r="A9" t="s">
        <v>41</v>
      </c>
      <c r="C9" s="21">
        <f>C6-C7-C8</f>
        <v>741</v>
      </c>
      <c r="D9" s="19">
        <f t="shared" si="0"/>
        <v>0.31385006353240152</v>
      </c>
    </row>
    <row r="10" spans="1:4" ht="17" thickBot="1" x14ac:dyDescent="0.25">
      <c r="A10" s="13" t="s">
        <v>42</v>
      </c>
      <c r="B10" s="13"/>
      <c r="C10" s="20">
        <v>141</v>
      </c>
      <c r="D10" s="19">
        <f t="shared" si="0"/>
        <v>5.9720457433290977E-2</v>
      </c>
    </row>
    <row r="11" spans="1:4" x14ac:dyDescent="0.2">
      <c r="A11" t="s">
        <v>43</v>
      </c>
      <c r="C11" s="21">
        <f>C9-C10</f>
        <v>600</v>
      </c>
      <c r="D11" s="19">
        <f t="shared" si="0"/>
        <v>0.25412960609911056</v>
      </c>
    </row>
    <row r="12" spans="1:4" ht="17" thickBot="1" x14ac:dyDescent="0.25">
      <c r="A12" s="13" t="s">
        <v>44</v>
      </c>
      <c r="B12" s="13"/>
      <c r="C12" s="22">
        <f>C11*0.21</f>
        <v>126</v>
      </c>
      <c r="D12" s="23">
        <f t="shared" si="0"/>
        <v>5.3367217280813214E-2</v>
      </c>
    </row>
    <row r="13" spans="1:4" ht="17" thickBot="1" x14ac:dyDescent="0.25">
      <c r="A13" s="24" t="s">
        <v>45</v>
      </c>
      <c r="B13" s="24"/>
      <c r="C13" s="25">
        <f>C11-C12</f>
        <v>474</v>
      </c>
      <c r="D13" s="26">
        <f t="shared" si="0"/>
        <v>0.20076238881829733</v>
      </c>
    </row>
    <row r="14" spans="1:4" ht="17" thickTop="1" x14ac:dyDescent="0.2">
      <c r="A14" t="s">
        <v>46</v>
      </c>
      <c r="C14" s="18">
        <v>158</v>
      </c>
      <c r="D14" s="27">
        <f t="shared" si="0"/>
        <v>6.6920796272765773E-2</v>
      </c>
    </row>
    <row r="15" spans="1:4" x14ac:dyDescent="0.2">
      <c r="A15" t="s">
        <v>47</v>
      </c>
      <c r="C15" s="21">
        <f>C13-C14</f>
        <v>316</v>
      </c>
      <c r="D15" s="19">
        <f t="shared" si="0"/>
        <v>0.13384159254553155</v>
      </c>
    </row>
  </sheetData>
  <mergeCells count="4">
    <mergeCell ref="A1:D1"/>
    <mergeCell ref="A2:D2"/>
    <mergeCell ref="A3:D3"/>
    <mergeCell ref="B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353C-324C-9A49-9517-871B43D383E3}">
  <dimension ref="A3:H29"/>
  <sheetViews>
    <sheetView workbookViewId="0">
      <selection activeCell="D8" sqref="D8"/>
    </sheetView>
  </sheetViews>
  <sheetFormatPr baseColWidth="10" defaultRowHeight="16" x14ac:dyDescent="0.2"/>
  <cols>
    <col min="1" max="1" width="29.6640625" bestFit="1" customWidth="1"/>
    <col min="3" max="3" width="14.33203125" bestFit="1" customWidth="1"/>
    <col min="5" max="5" width="14.33203125" bestFit="1" customWidth="1"/>
  </cols>
  <sheetData>
    <row r="3" spans="1:8" x14ac:dyDescent="0.2">
      <c r="A3" s="61" t="s">
        <v>212</v>
      </c>
      <c r="B3" s="61"/>
      <c r="C3" s="61"/>
      <c r="D3" s="61"/>
      <c r="E3" s="61"/>
      <c r="F3" s="61"/>
      <c r="H3" t="s">
        <v>21</v>
      </c>
    </row>
    <row r="4" spans="1:8" x14ac:dyDescent="0.2">
      <c r="A4" s="61" t="s">
        <v>213</v>
      </c>
      <c r="B4" s="61"/>
      <c r="C4" s="61"/>
      <c r="D4" s="61"/>
      <c r="E4" s="61"/>
      <c r="F4" s="61"/>
    </row>
    <row r="5" spans="1:8" x14ac:dyDescent="0.2">
      <c r="A5" s="61" t="s">
        <v>0</v>
      </c>
      <c r="B5" s="61"/>
      <c r="C5" s="61"/>
      <c r="D5" s="61"/>
      <c r="E5" s="61"/>
      <c r="F5" s="61"/>
    </row>
    <row r="7" spans="1:8" x14ac:dyDescent="0.2">
      <c r="B7">
        <v>2023</v>
      </c>
      <c r="C7" t="s">
        <v>2</v>
      </c>
      <c r="D7">
        <v>2024</v>
      </c>
      <c r="E7" t="s">
        <v>2</v>
      </c>
      <c r="F7" t="s">
        <v>20</v>
      </c>
    </row>
    <row r="8" spans="1:8" x14ac:dyDescent="0.2">
      <c r="A8" t="s">
        <v>1</v>
      </c>
      <c r="B8" s="2"/>
    </row>
    <row r="9" spans="1:8" x14ac:dyDescent="0.2">
      <c r="A9" t="s">
        <v>3</v>
      </c>
      <c r="B9" s="2"/>
    </row>
    <row r="10" spans="1:8" x14ac:dyDescent="0.2">
      <c r="A10" s="1" t="s">
        <v>4</v>
      </c>
      <c r="B10" s="2">
        <v>84</v>
      </c>
      <c r="C10" s="4">
        <f>B10/$B$16</f>
        <v>2.4903646605395791E-2</v>
      </c>
      <c r="D10" s="2">
        <v>98</v>
      </c>
      <c r="E10" s="4">
        <f>D10/$D$16</f>
        <v>2.6997245179063361E-2</v>
      </c>
      <c r="F10" s="3">
        <f>E10-C10</f>
        <v>2.0935985736675704E-3</v>
      </c>
    </row>
    <row r="11" spans="1:8" x14ac:dyDescent="0.2">
      <c r="A11" s="1" t="s">
        <v>5</v>
      </c>
      <c r="B11" s="2">
        <v>165</v>
      </c>
      <c r="C11" s="4">
        <f t="shared" ref="C11:C28" si="0">B11/$B$16</f>
        <v>4.8917877260598874E-2</v>
      </c>
      <c r="D11" s="2">
        <v>188</v>
      </c>
      <c r="E11" s="4">
        <f t="shared" ref="E11:E28" si="1">D11/$D$16</f>
        <v>5.1790633608815424E-2</v>
      </c>
      <c r="F11" s="3">
        <f t="shared" ref="F11:F28" si="2">E11-C11</f>
        <v>2.87275634821655E-3</v>
      </c>
    </row>
    <row r="12" spans="1:8" ht="17" thickBot="1" x14ac:dyDescent="0.25">
      <c r="A12" s="6" t="s">
        <v>6</v>
      </c>
      <c r="B12" s="7">
        <v>393</v>
      </c>
      <c r="C12" s="8">
        <f t="shared" si="0"/>
        <v>0.11651348947524459</v>
      </c>
      <c r="D12" s="7">
        <v>422</v>
      </c>
      <c r="E12" s="8">
        <f t="shared" si="1"/>
        <v>0.1162534435261708</v>
      </c>
      <c r="F12" s="9">
        <f t="shared" si="2"/>
        <v>-2.6004594907379219E-4</v>
      </c>
    </row>
    <row r="13" spans="1:8" ht="17" thickBot="1" x14ac:dyDescent="0.25">
      <c r="A13" s="10" t="s">
        <v>7</v>
      </c>
      <c r="B13" s="11">
        <f>SUM(B10:B12)</f>
        <v>642</v>
      </c>
      <c r="C13" s="12">
        <f t="shared" si="0"/>
        <v>0.19033501334123926</v>
      </c>
      <c r="D13" s="11">
        <f>SUM(D10:D12)</f>
        <v>708</v>
      </c>
      <c r="E13" s="12">
        <f t="shared" si="1"/>
        <v>0.19504132231404958</v>
      </c>
      <c r="F13" s="9">
        <f t="shared" si="2"/>
        <v>4.7063089728103247E-3</v>
      </c>
    </row>
    <row r="14" spans="1:8" x14ac:dyDescent="0.2">
      <c r="A14" t="s">
        <v>8</v>
      </c>
      <c r="B14" s="2"/>
      <c r="C14" s="5"/>
      <c r="D14" s="2"/>
      <c r="E14" s="5"/>
      <c r="F14" s="3"/>
    </row>
    <row r="15" spans="1:8" ht="17" thickBot="1" x14ac:dyDescent="0.25">
      <c r="A15" s="6" t="s">
        <v>9</v>
      </c>
      <c r="B15" s="7">
        <v>2731</v>
      </c>
      <c r="C15" s="8">
        <f t="shared" si="0"/>
        <v>0.80966498665876074</v>
      </c>
      <c r="D15" s="7">
        <v>2922</v>
      </c>
      <c r="E15" s="8">
        <f t="shared" si="1"/>
        <v>0.80495867768595042</v>
      </c>
      <c r="F15" s="9">
        <f t="shared" si="2"/>
        <v>-4.7063089728103247E-3</v>
      </c>
    </row>
    <row r="16" spans="1:8" ht="17" thickBot="1" x14ac:dyDescent="0.25">
      <c r="A16" s="14" t="s">
        <v>10</v>
      </c>
      <c r="B16" s="15">
        <f>B13+B15</f>
        <v>3373</v>
      </c>
      <c r="C16" s="16">
        <f t="shared" si="0"/>
        <v>1</v>
      </c>
      <c r="D16" s="15">
        <f>D13+D15</f>
        <v>3630</v>
      </c>
      <c r="E16" s="16">
        <f t="shared" si="1"/>
        <v>1</v>
      </c>
      <c r="F16" s="17">
        <f t="shared" si="2"/>
        <v>0</v>
      </c>
    </row>
    <row r="17" spans="1:6" ht="17" thickTop="1" x14ac:dyDescent="0.2">
      <c r="B17" s="2"/>
      <c r="C17" s="5"/>
      <c r="D17" s="2"/>
      <c r="E17" s="5"/>
      <c r="F17" s="3"/>
    </row>
    <row r="18" spans="1:6" x14ac:dyDescent="0.2">
      <c r="A18" t="s">
        <v>11</v>
      </c>
      <c r="B18" s="2"/>
      <c r="C18" s="4"/>
      <c r="D18" s="2"/>
      <c r="E18" s="4"/>
      <c r="F18" s="3"/>
    </row>
    <row r="19" spans="1:6" x14ac:dyDescent="0.2">
      <c r="A19" t="s">
        <v>12</v>
      </c>
      <c r="B19" s="2"/>
      <c r="C19" s="4"/>
      <c r="D19" s="2"/>
      <c r="E19" s="4"/>
      <c r="F19" s="3"/>
    </row>
    <row r="20" spans="1:6" x14ac:dyDescent="0.2">
      <c r="A20" s="1" t="s">
        <v>13</v>
      </c>
      <c r="B20" s="2">
        <v>312</v>
      </c>
      <c r="C20" s="4">
        <f t="shared" si="0"/>
        <v>9.2499258820041508E-2</v>
      </c>
      <c r="D20" s="2">
        <v>344</v>
      </c>
      <c r="E20" s="4">
        <f t="shared" si="1"/>
        <v>9.4765840220385672E-2</v>
      </c>
      <c r="F20" s="3">
        <f t="shared" si="2"/>
        <v>2.2665814003441642E-3</v>
      </c>
    </row>
    <row r="21" spans="1:6" ht="17" thickBot="1" x14ac:dyDescent="0.25">
      <c r="A21" s="6" t="s">
        <v>14</v>
      </c>
      <c r="B21" s="7">
        <v>231</v>
      </c>
      <c r="C21" s="8">
        <f t="shared" si="0"/>
        <v>6.8485028164838424E-2</v>
      </c>
      <c r="D21" s="7">
        <v>204</v>
      </c>
      <c r="E21" s="8">
        <f t="shared" si="1"/>
        <v>5.6198347107438019E-2</v>
      </c>
      <c r="F21" s="9">
        <f t="shared" si="2"/>
        <v>-1.2286681057400405E-2</v>
      </c>
    </row>
    <row r="22" spans="1:6" ht="17" thickBot="1" x14ac:dyDescent="0.25">
      <c r="A22" s="10" t="s">
        <v>7</v>
      </c>
      <c r="B22" s="11">
        <f>B20+B21</f>
        <v>543</v>
      </c>
      <c r="C22" s="12">
        <f t="shared" si="0"/>
        <v>0.16098428698487993</v>
      </c>
      <c r="D22" s="11">
        <f>D20+D21</f>
        <v>548</v>
      </c>
      <c r="E22" s="12">
        <f t="shared" si="1"/>
        <v>0.15096418732782368</v>
      </c>
      <c r="F22" s="9">
        <f t="shared" si="2"/>
        <v>-1.0020099657056247E-2</v>
      </c>
    </row>
    <row r="23" spans="1:6" ht="17" thickBot="1" x14ac:dyDescent="0.25">
      <c r="A23" s="13" t="s">
        <v>15</v>
      </c>
      <c r="B23" s="7">
        <v>531</v>
      </c>
      <c r="C23" s="12">
        <f t="shared" si="0"/>
        <v>0.1574266231841091</v>
      </c>
      <c r="D23" s="7">
        <v>457</v>
      </c>
      <c r="E23" s="12">
        <f t="shared" si="1"/>
        <v>0.12589531680440771</v>
      </c>
      <c r="F23" s="9">
        <f t="shared" si="2"/>
        <v>-3.153130637970139E-2</v>
      </c>
    </row>
    <row r="24" spans="1:6" x14ac:dyDescent="0.2">
      <c r="A24" t="s">
        <v>19</v>
      </c>
      <c r="B24" s="2"/>
      <c r="C24" s="5"/>
      <c r="D24" s="2"/>
      <c r="E24" s="5"/>
      <c r="F24" s="3"/>
    </row>
    <row r="25" spans="1:6" x14ac:dyDescent="0.2">
      <c r="A25" s="1" t="s">
        <v>16</v>
      </c>
      <c r="B25" s="2">
        <v>500</v>
      </c>
      <c r="C25" s="4">
        <f t="shared" si="0"/>
        <v>0.14823599169878446</v>
      </c>
      <c r="D25" s="2">
        <v>510</v>
      </c>
      <c r="E25" s="4">
        <f t="shared" si="1"/>
        <v>0.14049586776859505</v>
      </c>
      <c r="F25" s="3">
        <f t="shared" si="2"/>
        <v>-7.7401239301894131E-3</v>
      </c>
    </row>
    <row r="26" spans="1:6" ht="17" thickBot="1" x14ac:dyDescent="0.25">
      <c r="A26" s="6" t="s">
        <v>17</v>
      </c>
      <c r="B26" s="7">
        <v>1799</v>
      </c>
      <c r="C26" s="8">
        <f t="shared" si="0"/>
        <v>0.53335309813222653</v>
      </c>
      <c r="D26" s="7">
        <v>2115</v>
      </c>
      <c r="E26" s="8">
        <f t="shared" si="1"/>
        <v>0.5826446280991735</v>
      </c>
      <c r="F26" s="9">
        <f t="shared" si="2"/>
        <v>4.9291529966946968E-2</v>
      </c>
    </row>
    <row r="27" spans="1:6" ht="17" thickBot="1" x14ac:dyDescent="0.25">
      <c r="A27" s="10" t="s">
        <v>7</v>
      </c>
      <c r="B27" s="11">
        <f>B25+B26</f>
        <v>2299</v>
      </c>
      <c r="C27" s="12">
        <f t="shared" si="0"/>
        <v>0.68158908983101096</v>
      </c>
      <c r="D27" s="11">
        <f>D25+D26</f>
        <v>2625</v>
      </c>
      <c r="E27" s="12">
        <f t="shared" si="1"/>
        <v>0.72314049586776863</v>
      </c>
      <c r="F27" s="9">
        <f t="shared" si="2"/>
        <v>4.1551406036757665E-2</v>
      </c>
    </row>
    <row r="28" spans="1:6" ht="17" thickBot="1" x14ac:dyDescent="0.25">
      <c r="A28" s="14" t="s">
        <v>18</v>
      </c>
      <c r="B28" s="15">
        <f>B27+B22+B23</f>
        <v>3373</v>
      </c>
      <c r="C28" s="16">
        <f t="shared" si="0"/>
        <v>1</v>
      </c>
      <c r="D28" s="15">
        <f>D27+D22+D23</f>
        <v>3630</v>
      </c>
      <c r="E28" s="16">
        <f t="shared" si="1"/>
        <v>1</v>
      </c>
      <c r="F28" s="17">
        <f t="shared" si="2"/>
        <v>0</v>
      </c>
    </row>
    <row r="29" spans="1:6" ht="17" thickTop="1" x14ac:dyDescent="0.2"/>
  </sheetData>
  <mergeCells count="3">
    <mergeCell ref="A5:F5"/>
    <mergeCell ref="A4:F4"/>
    <mergeCell ref="A3:F3"/>
  </mergeCells>
  <conditionalFormatting sqref="F10:F28">
    <cfRule type="cellIs" dxfId="4" priority="1" operator="greaterThanOrEqual">
      <formula>0</formula>
    </cfRule>
    <cfRule type="cellIs" dxfId="3" priority="3"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E8BA-1657-C248-9F58-1B54CAD30222}">
  <dimension ref="A1:I110"/>
  <sheetViews>
    <sheetView tabSelected="1" topLeftCell="A80" zoomScale="88" zoomScaleNormal="110" workbookViewId="0">
      <selection activeCell="B89" sqref="B89"/>
    </sheetView>
  </sheetViews>
  <sheetFormatPr baseColWidth="10" defaultRowHeight="16" x14ac:dyDescent="0.2"/>
  <cols>
    <col min="1" max="1" width="51.33203125" bestFit="1" customWidth="1"/>
    <col min="5" max="5" width="112.33203125" customWidth="1"/>
    <col min="6" max="6" width="28.1640625" customWidth="1"/>
    <col min="7" max="7" width="21.33203125" customWidth="1"/>
    <col min="8" max="8" width="15.33203125" customWidth="1"/>
    <col min="9" max="9" width="68.1640625" customWidth="1"/>
  </cols>
  <sheetData>
    <row r="1" spans="1:9" ht="48" thickBot="1" x14ac:dyDescent="0.6">
      <c r="A1" s="62" t="s">
        <v>125</v>
      </c>
      <c r="B1" s="62"/>
      <c r="C1" s="62"/>
      <c r="D1" s="62"/>
      <c r="E1" s="62"/>
      <c r="F1" s="62"/>
      <c r="G1" s="62"/>
      <c r="H1" s="62"/>
    </row>
    <row r="2" spans="1:9" ht="123" customHeight="1" thickTop="1" x14ac:dyDescent="0.2">
      <c r="A2" s="63" t="s">
        <v>207</v>
      </c>
      <c r="B2" s="64"/>
      <c r="C2" s="64"/>
      <c r="D2" s="64"/>
      <c r="E2" s="64"/>
      <c r="F2" s="64"/>
      <c r="G2" s="64"/>
      <c r="H2" s="65"/>
    </row>
    <row r="3" spans="1:9" ht="54" customHeight="1" x14ac:dyDescent="0.2">
      <c r="A3" s="66" t="s">
        <v>208</v>
      </c>
      <c r="B3" s="66"/>
      <c r="C3" s="66"/>
      <c r="D3" s="66"/>
      <c r="E3" s="66"/>
      <c r="F3" s="66"/>
      <c r="G3" s="66"/>
      <c r="H3" s="66"/>
    </row>
    <row r="4" spans="1:9" x14ac:dyDescent="0.2">
      <c r="A4" s="43"/>
      <c r="B4" s="43"/>
      <c r="C4" s="43"/>
      <c r="D4" s="43"/>
      <c r="E4" s="43"/>
      <c r="F4" s="43"/>
      <c r="G4" s="43"/>
      <c r="H4" s="43"/>
    </row>
    <row r="5" spans="1:9" x14ac:dyDescent="0.2">
      <c r="A5" s="43"/>
      <c r="B5" s="43"/>
      <c r="C5" s="43"/>
      <c r="D5" s="43"/>
      <c r="E5" s="43"/>
      <c r="F5" s="43"/>
      <c r="G5" s="43"/>
      <c r="H5" s="43"/>
    </row>
    <row r="9" spans="1:9" ht="38" thickBot="1" x14ac:dyDescent="0.5">
      <c r="A9" s="50" t="s">
        <v>206</v>
      </c>
      <c r="B9" s="50"/>
      <c r="C9" s="50"/>
      <c r="D9" s="50"/>
      <c r="E9" s="50" t="s">
        <v>127</v>
      </c>
      <c r="F9" s="50" t="s">
        <v>135</v>
      </c>
      <c r="G9" s="50" t="s">
        <v>126</v>
      </c>
      <c r="H9" s="50" t="s">
        <v>128</v>
      </c>
      <c r="I9" s="51" t="s">
        <v>209</v>
      </c>
    </row>
    <row r="10" spans="1:9" ht="17" thickTop="1" x14ac:dyDescent="0.2">
      <c r="A10" s="28" t="s">
        <v>76</v>
      </c>
      <c r="B10" s="28"/>
      <c r="C10" s="28"/>
      <c r="D10" s="28"/>
      <c r="E10" s="28"/>
      <c r="F10" s="28"/>
      <c r="G10" s="28"/>
      <c r="H10" s="28"/>
      <c r="I10" s="28"/>
    </row>
    <row r="11" spans="1:9" x14ac:dyDescent="0.2">
      <c r="E11" s="36"/>
      <c r="F11" s="36"/>
      <c r="G11" s="36"/>
    </row>
    <row r="12" spans="1:9" ht="17" x14ac:dyDescent="0.2">
      <c r="A12" s="29" t="s">
        <v>22</v>
      </c>
      <c r="E12" s="39" t="s">
        <v>130</v>
      </c>
      <c r="F12" s="39"/>
      <c r="G12" s="36"/>
    </row>
    <row r="13" spans="1:9" ht="42" customHeight="1" thickBot="1" x14ac:dyDescent="0.25">
      <c r="A13" s="24" t="s">
        <v>23</v>
      </c>
      <c r="B13" s="30">
        <f>'Balance Sheet'!D13/'Balance Sheet'!D22</f>
        <v>1.2919708029197081</v>
      </c>
      <c r="C13" s="24" t="s">
        <v>28</v>
      </c>
      <c r="E13" s="36" t="s">
        <v>147</v>
      </c>
      <c r="F13" s="36" t="s">
        <v>145</v>
      </c>
      <c r="G13" s="41" t="s">
        <v>129</v>
      </c>
      <c r="H13" t="s">
        <v>92</v>
      </c>
    </row>
    <row r="14" spans="1:9" ht="17" thickTop="1" x14ac:dyDescent="0.2">
      <c r="B14" s="31"/>
      <c r="E14" s="36"/>
      <c r="F14" s="36"/>
      <c r="G14" s="36"/>
    </row>
    <row r="15" spans="1:9" ht="34" x14ac:dyDescent="0.2">
      <c r="A15" s="29" t="s">
        <v>24</v>
      </c>
      <c r="B15" s="31"/>
      <c r="E15" s="38" t="s">
        <v>132</v>
      </c>
      <c r="F15" s="38"/>
      <c r="G15" s="36"/>
    </row>
    <row r="16" spans="1:9" ht="27" customHeight="1" thickBot="1" x14ac:dyDescent="0.25">
      <c r="A16" s="24" t="s">
        <v>25</v>
      </c>
      <c r="B16" s="30">
        <f>('Balance Sheet'!D13-'Balance Sheet'!D12)/('Balance Sheet'!D22)</f>
        <v>0.52189781021897808</v>
      </c>
      <c r="C16" s="24" t="s">
        <v>28</v>
      </c>
      <c r="E16" s="36" t="s">
        <v>143</v>
      </c>
      <c r="F16" s="36" t="s">
        <v>144</v>
      </c>
      <c r="G16" s="41" t="s">
        <v>129</v>
      </c>
      <c r="H16" t="s">
        <v>92</v>
      </c>
    </row>
    <row r="17" spans="1:9" ht="17" thickTop="1" x14ac:dyDescent="0.2">
      <c r="B17" s="31"/>
      <c r="E17" s="36"/>
      <c r="F17" s="36"/>
      <c r="G17" s="36"/>
    </row>
    <row r="18" spans="1:9" ht="34" x14ac:dyDescent="0.2">
      <c r="A18" s="29" t="s">
        <v>27</v>
      </c>
      <c r="B18" s="31"/>
      <c r="E18" s="38" t="s">
        <v>134</v>
      </c>
      <c r="F18" s="38"/>
      <c r="G18" s="36"/>
    </row>
    <row r="19" spans="1:9" ht="52" thickBot="1" x14ac:dyDescent="0.25">
      <c r="A19" s="24" t="s">
        <v>26</v>
      </c>
      <c r="B19" s="30">
        <f>'Balance Sheet'!D10/'Balance Sheet'!D22</f>
        <v>0.17883211678832117</v>
      </c>
      <c r="C19" s="24" t="s">
        <v>28</v>
      </c>
      <c r="E19" s="36" t="s">
        <v>137</v>
      </c>
      <c r="F19" s="36" t="s">
        <v>136</v>
      </c>
      <c r="G19" s="41" t="s">
        <v>138</v>
      </c>
      <c r="H19" t="s">
        <v>92</v>
      </c>
    </row>
    <row r="20" spans="1:9" ht="17" thickTop="1" x14ac:dyDescent="0.2">
      <c r="B20" s="31"/>
      <c r="E20" s="36"/>
      <c r="F20" s="36"/>
      <c r="G20" s="36"/>
    </row>
    <row r="21" spans="1:9" x14ac:dyDescent="0.2">
      <c r="A21" s="28" t="s">
        <v>77</v>
      </c>
      <c r="B21" s="46"/>
      <c r="C21" s="28"/>
      <c r="D21" s="28"/>
      <c r="E21" s="47"/>
      <c r="F21" s="47"/>
      <c r="G21" s="47"/>
      <c r="H21" s="28"/>
      <c r="I21" s="28"/>
    </row>
    <row r="22" spans="1:9" x14ac:dyDescent="0.2">
      <c r="B22" s="31"/>
      <c r="E22" s="36"/>
      <c r="F22" s="36"/>
      <c r="G22" s="36"/>
    </row>
    <row r="23" spans="1:9" ht="51" customHeight="1" x14ac:dyDescent="0.2">
      <c r="A23" s="29" t="s">
        <v>29</v>
      </c>
      <c r="B23" s="31"/>
      <c r="E23" s="38" t="s">
        <v>139</v>
      </c>
      <c r="F23" s="38"/>
      <c r="G23" s="36"/>
    </row>
    <row r="24" spans="1:9" ht="48" customHeight="1" thickBot="1" x14ac:dyDescent="0.25">
      <c r="A24" s="24" t="s">
        <v>30</v>
      </c>
      <c r="B24" s="30">
        <f>('Balance Sheet'!D16-'Balance Sheet'!D27)/'Balance Sheet'!D16</f>
        <v>0.27685950413223143</v>
      </c>
      <c r="C24" s="24" t="s">
        <v>28</v>
      </c>
      <c r="E24" s="44" t="s">
        <v>146</v>
      </c>
      <c r="F24" s="36" t="s">
        <v>141</v>
      </c>
      <c r="G24" s="41" t="s">
        <v>140</v>
      </c>
      <c r="H24" t="s">
        <v>78</v>
      </c>
    </row>
    <row r="25" spans="1:9" ht="17" thickTop="1" x14ac:dyDescent="0.2">
      <c r="B25" s="31"/>
      <c r="E25" s="36"/>
      <c r="F25" s="36"/>
      <c r="G25" s="36"/>
    </row>
    <row r="26" spans="1:9" ht="17" x14ac:dyDescent="0.2">
      <c r="A26" s="29" t="s">
        <v>31</v>
      </c>
      <c r="B26" s="31"/>
      <c r="E26" s="39" t="s">
        <v>142</v>
      </c>
      <c r="F26" s="39"/>
      <c r="G26" s="36"/>
    </row>
    <row r="27" spans="1:9" ht="35" thickBot="1" x14ac:dyDescent="0.25">
      <c r="A27" s="24" t="s">
        <v>32</v>
      </c>
      <c r="B27" s="30">
        <f>('Balance Sheet'!D22+'Balance Sheet'!D23)/'Balance Sheet'!D27</f>
        <v>0.38285714285714284</v>
      </c>
      <c r="C27" s="24" t="s">
        <v>28</v>
      </c>
      <c r="E27" s="36" t="s">
        <v>151</v>
      </c>
      <c r="F27" s="36" t="s">
        <v>148</v>
      </c>
      <c r="G27" s="41" t="s">
        <v>150</v>
      </c>
      <c r="H27" t="s">
        <v>78</v>
      </c>
    </row>
    <row r="28" spans="1:9" ht="17" thickTop="1" x14ac:dyDescent="0.2">
      <c r="B28" s="31"/>
      <c r="E28" s="36"/>
      <c r="F28" s="36"/>
      <c r="G28" s="36"/>
    </row>
    <row r="29" spans="1:9" ht="68" x14ac:dyDescent="0.2">
      <c r="A29" s="29" t="s">
        <v>33</v>
      </c>
      <c r="B29" s="31"/>
      <c r="E29" s="39" t="s">
        <v>149</v>
      </c>
      <c r="F29" s="39"/>
      <c r="G29" s="36"/>
    </row>
    <row r="30" spans="1:9" ht="35" thickBot="1" x14ac:dyDescent="0.25">
      <c r="A30" s="24" t="s">
        <v>34</v>
      </c>
      <c r="B30" s="30">
        <f>'Balance Sheet'!D16/'Balance Sheet'!D27</f>
        <v>1.3828571428571428</v>
      </c>
      <c r="C30" s="24" t="s">
        <v>28</v>
      </c>
      <c r="E30" s="36" t="s">
        <v>152</v>
      </c>
      <c r="F30" s="36" t="s">
        <v>153</v>
      </c>
      <c r="G30" s="41" t="s">
        <v>150</v>
      </c>
      <c r="H30" t="s">
        <v>78</v>
      </c>
    </row>
    <row r="31" spans="1:9" ht="17" thickTop="1" x14ac:dyDescent="0.2">
      <c r="B31" s="31"/>
      <c r="E31" s="36"/>
      <c r="F31" s="36"/>
      <c r="G31" s="36"/>
    </row>
    <row r="32" spans="1:9" ht="34" x14ac:dyDescent="0.2">
      <c r="A32" s="29" t="s">
        <v>35</v>
      </c>
      <c r="B32" s="31"/>
      <c r="E32" s="38" t="s">
        <v>154</v>
      </c>
      <c r="F32" s="38"/>
      <c r="G32" s="36"/>
    </row>
    <row r="33" spans="1:9" ht="52" thickBot="1" x14ac:dyDescent="0.25">
      <c r="A33" s="24" t="s">
        <v>48</v>
      </c>
      <c r="B33" s="30">
        <f>'Income statement '!C9/'Income statement '!C10</f>
        <v>5.2553191489361701</v>
      </c>
      <c r="C33" s="24" t="s">
        <v>28</v>
      </c>
      <c r="E33" s="36" t="s">
        <v>157</v>
      </c>
      <c r="F33" s="36" t="s">
        <v>156</v>
      </c>
      <c r="G33" s="41" t="s">
        <v>150</v>
      </c>
      <c r="H33" s="36" t="s">
        <v>78</v>
      </c>
    </row>
    <row r="34" spans="1:9" ht="17" thickTop="1" x14ac:dyDescent="0.2">
      <c r="B34" s="31"/>
      <c r="E34" s="36"/>
      <c r="F34" s="36"/>
      <c r="G34" s="36"/>
    </row>
    <row r="35" spans="1:9" ht="34" x14ac:dyDescent="0.2">
      <c r="A35" s="29" t="s">
        <v>49</v>
      </c>
      <c r="B35" s="31"/>
      <c r="E35" s="37" t="s">
        <v>155</v>
      </c>
      <c r="F35" s="37"/>
      <c r="G35" s="37"/>
    </row>
    <row r="36" spans="1:9" ht="35" thickBot="1" x14ac:dyDescent="0.25">
      <c r="A36" s="24" t="s">
        <v>50</v>
      </c>
      <c r="B36" s="30">
        <f>('Income statement '!C9+'Income statement '!C8)/'Income statement '!C10</f>
        <v>7.2127659574468082</v>
      </c>
      <c r="C36" s="24" t="s">
        <v>28</v>
      </c>
      <c r="E36" s="36" t="s">
        <v>159</v>
      </c>
      <c r="F36" s="36" t="s">
        <v>158</v>
      </c>
      <c r="G36" s="41" t="s">
        <v>150</v>
      </c>
      <c r="H36" t="s">
        <v>78</v>
      </c>
    </row>
    <row r="37" spans="1:9" ht="17" thickTop="1" x14ac:dyDescent="0.2">
      <c r="B37" s="31"/>
      <c r="E37" s="36"/>
      <c r="F37" s="36"/>
      <c r="G37" s="36"/>
    </row>
    <row r="38" spans="1:9" x14ac:dyDescent="0.2">
      <c r="A38" s="28" t="s">
        <v>51</v>
      </c>
      <c r="B38" s="46"/>
      <c r="C38" s="28"/>
      <c r="D38" s="28"/>
      <c r="E38" s="47"/>
      <c r="F38" s="47"/>
      <c r="G38" s="47"/>
      <c r="H38" s="28"/>
      <c r="I38" s="28"/>
    </row>
    <row r="39" spans="1:9" x14ac:dyDescent="0.2">
      <c r="B39" s="31"/>
      <c r="E39" s="36"/>
      <c r="F39" s="36"/>
      <c r="G39" s="36"/>
    </row>
    <row r="40" spans="1:9" x14ac:dyDescent="0.2">
      <c r="A40" s="29" t="s">
        <v>52</v>
      </c>
      <c r="B40" s="31"/>
      <c r="E40" s="40" t="s">
        <v>104</v>
      </c>
      <c r="F40" s="40"/>
      <c r="G40" s="40"/>
    </row>
    <row r="41" spans="1:9" ht="35" thickBot="1" x14ac:dyDescent="0.25">
      <c r="A41" s="24" t="s">
        <v>53</v>
      </c>
      <c r="B41" s="33">
        <f>'Income statement '!C7/'Balance Sheet'!D12</f>
        <v>3.1848341232227488</v>
      </c>
      <c r="C41" s="24" t="s">
        <v>28</v>
      </c>
      <c r="E41" s="36" t="s">
        <v>160</v>
      </c>
      <c r="F41" s="36" t="s">
        <v>161</v>
      </c>
      <c r="G41" s="41" t="s">
        <v>140</v>
      </c>
      <c r="H41" t="s">
        <v>92</v>
      </c>
    </row>
    <row r="42" spans="1:9" ht="17" thickTop="1" x14ac:dyDescent="0.2">
      <c r="B42" s="34"/>
      <c r="E42" s="36"/>
      <c r="F42" s="36"/>
      <c r="G42" s="36"/>
    </row>
    <row r="43" spans="1:9" ht="17" x14ac:dyDescent="0.2">
      <c r="A43" s="29" t="s">
        <v>54</v>
      </c>
      <c r="B43" s="34"/>
      <c r="E43" s="38" t="s">
        <v>105</v>
      </c>
      <c r="F43" s="38"/>
      <c r="G43" s="38"/>
    </row>
    <row r="44" spans="1:9" ht="35" thickBot="1" x14ac:dyDescent="0.25">
      <c r="A44" s="24" t="s">
        <v>55</v>
      </c>
      <c r="B44" s="33">
        <f>365/B41</f>
        <v>114.60565476190476</v>
      </c>
      <c r="C44" s="24" t="s">
        <v>102</v>
      </c>
      <c r="E44" s="36" t="s">
        <v>162</v>
      </c>
      <c r="F44" s="36" t="s">
        <v>163</v>
      </c>
      <c r="G44" s="41" t="s">
        <v>140</v>
      </c>
      <c r="H44" t="s">
        <v>92</v>
      </c>
    </row>
    <row r="45" spans="1:9" ht="17" thickTop="1" x14ac:dyDescent="0.2">
      <c r="B45" s="34"/>
      <c r="E45" s="36"/>
      <c r="F45" s="36"/>
      <c r="G45" s="36"/>
    </row>
    <row r="46" spans="1:9" ht="17" x14ac:dyDescent="0.2">
      <c r="A46" s="29" t="s">
        <v>56</v>
      </c>
      <c r="B46" s="34"/>
      <c r="E46" s="38" t="s">
        <v>106</v>
      </c>
      <c r="F46" s="38"/>
      <c r="G46" s="38"/>
    </row>
    <row r="47" spans="1:9" ht="35" thickBot="1" x14ac:dyDescent="0.25">
      <c r="A47" s="24" t="s">
        <v>57</v>
      </c>
      <c r="B47" s="33">
        <f>'Income statement '!C6/'Balance Sheet'!D11</f>
        <v>12.558510638297872</v>
      </c>
      <c r="C47" s="24" t="s">
        <v>28</v>
      </c>
      <c r="E47" s="36" t="s">
        <v>165</v>
      </c>
      <c r="F47" s="36" t="s">
        <v>164</v>
      </c>
      <c r="G47" s="41" t="s">
        <v>140</v>
      </c>
      <c r="H47" t="s">
        <v>92</v>
      </c>
    </row>
    <row r="48" spans="1:9" ht="17" thickTop="1" x14ac:dyDescent="0.2">
      <c r="B48" s="34"/>
      <c r="E48" s="36"/>
      <c r="F48" s="36"/>
      <c r="G48" s="36"/>
    </row>
    <row r="49" spans="1:9" ht="17" x14ac:dyDescent="0.2">
      <c r="A49" s="32" t="s">
        <v>94</v>
      </c>
      <c r="B49" s="34"/>
      <c r="E49" s="38" t="s">
        <v>107</v>
      </c>
      <c r="F49" s="38"/>
      <c r="G49" s="38"/>
    </row>
    <row r="50" spans="1:9" ht="35" thickBot="1" x14ac:dyDescent="0.25">
      <c r="A50" s="24" t="s">
        <v>95</v>
      </c>
      <c r="B50" s="33">
        <f>365/B47</f>
        <v>29.063955950868277</v>
      </c>
      <c r="C50" s="24" t="s">
        <v>102</v>
      </c>
      <c r="E50" s="36" t="s">
        <v>166</v>
      </c>
      <c r="F50" s="36" t="s">
        <v>167</v>
      </c>
      <c r="G50" s="41" t="s">
        <v>140</v>
      </c>
      <c r="H50" t="s">
        <v>92</v>
      </c>
    </row>
    <row r="51" spans="1:9" ht="17" thickTop="1" x14ac:dyDescent="0.2">
      <c r="B51" s="34"/>
      <c r="E51" s="36"/>
      <c r="F51" s="36"/>
      <c r="G51" s="36"/>
    </row>
    <row r="52" spans="1:9" ht="17" x14ac:dyDescent="0.2">
      <c r="A52" s="32" t="s">
        <v>96</v>
      </c>
      <c r="B52" s="34"/>
      <c r="E52" s="38" t="s">
        <v>108</v>
      </c>
      <c r="F52" s="38"/>
      <c r="G52" s="38"/>
    </row>
    <row r="53" spans="1:9" ht="72" customHeight="1" thickBot="1" x14ac:dyDescent="0.25">
      <c r="A53" s="24" t="s">
        <v>97</v>
      </c>
      <c r="B53" s="33">
        <f>B44+B50</f>
        <v>143.66961071277302</v>
      </c>
      <c r="C53" s="24" t="s">
        <v>102</v>
      </c>
      <c r="E53" s="36" t="s">
        <v>169</v>
      </c>
      <c r="F53" s="36" t="s">
        <v>168</v>
      </c>
      <c r="G53" s="36" t="s">
        <v>174</v>
      </c>
      <c r="H53" t="s">
        <v>92</v>
      </c>
    </row>
    <row r="54" spans="1:9" ht="17" thickTop="1" x14ac:dyDescent="0.2">
      <c r="B54" s="34"/>
      <c r="E54" s="36"/>
      <c r="F54" s="36"/>
      <c r="G54" s="36"/>
    </row>
    <row r="55" spans="1:9" ht="17" x14ac:dyDescent="0.2">
      <c r="A55" s="29" t="s">
        <v>58</v>
      </c>
      <c r="B55" s="34"/>
      <c r="E55" s="38" t="s">
        <v>170</v>
      </c>
      <c r="F55" s="38"/>
      <c r="G55" s="38"/>
    </row>
    <row r="56" spans="1:9" ht="35" thickBot="1" x14ac:dyDescent="0.25">
      <c r="A56" s="24" t="s">
        <v>59</v>
      </c>
      <c r="B56" s="33">
        <f>'Income statement '!C7/'Balance Sheet'!D20</f>
        <v>3.9069767441860463</v>
      </c>
      <c r="C56" s="24" t="s">
        <v>28</v>
      </c>
      <c r="E56" s="36" t="s">
        <v>172</v>
      </c>
      <c r="F56" s="36" t="s">
        <v>173</v>
      </c>
      <c r="G56" s="41" t="s">
        <v>171</v>
      </c>
      <c r="H56" t="s">
        <v>92</v>
      </c>
      <c r="I56" s="45" t="s">
        <v>175</v>
      </c>
    </row>
    <row r="57" spans="1:9" ht="17" thickTop="1" x14ac:dyDescent="0.2">
      <c r="B57" s="34"/>
      <c r="E57" s="36"/>
      <c r="F57" s="36"/>
      <c r="G57" s="36"/>
    </row>
    <row r="58" spans="1:9" ht="17" x14ac:dyDescent="0.2">
      <c r="A58" s="32" t="s">
        <v>98</v>
      </c>
      <c r="B58" s="34"/>
      <c r="E58" s="38" t="s">
        <v>109</v>
      </c>
      <c r="F58" s="38"/>
      <c r="G58" s="38"/>
    </row>
    <row r="59" spans="1:9" ht="18" thickBot="1" x14ac:dyDescent="0.25">
      <c r="A59" s="24" t="s">
        <v>99</v>
      </c>
      <c r="B59" s="33">
        <f>365/B56</f>
        <v>93.422619047619051</v>
      </c>
      <c r="C59" s="24" t="s">
        <v>102</v>
      </c>
      <c r="E59" s="36" t="s">
        <v>176</v>
      </c>
      <c r="F59" s="36" t="s">
        <v>177</v>
      </c>
      <c r="G59" s="41" t="s">
        <v>171</v>
      </c>
      <c r="H59" t="s">
        <v>92</v>
      </c>
    </row>
    <row r="60" spans="1:9" ht="17" thickTop="1" x14ac:dyDescent="0.2">
      <c r="B60" s="34"/>
      <c r="E60" s="36"/>
      <c r="F60" s="36"/>
      <c r="G60" s="36"/>
    </row>
    <row r="61" spans="1:9" ht="17" x14ac:dyDescent="0.2">
      <c r="A61" s="32" t="s">
        <v>100</v>
      </c>
      <c r="B61" s="34"/>
      <c r="E61" s="38" t="s">
        <v>110</v>
      </c>
      <c r="F61" s="38"/>
      <c r="G61" s="38"/>
    </row>
    <row r="62" spans="1:9" ht="77" customHeight="1" thickBot="1" x14ac:dyDescent="0.25">
      <c r="A62" s="24" t="s">
        <v>101</v>
      </c>
      <c r="B62" s="33">
        <f>B53-B59</f>
        <v>50.246991665153971</v>
      </c>
      <c r="C62" s="24" t="s">
        <v>102</v>
      </c>
      <c r="E62" s="36" t="s">
        <v>180</v>
      </c>
      <c r="F62" s="36" t="s">
        <v>179</v>
      </c>
      <c r="G62" s="36" t="s">
        <v>178</v>
      </c>
      <c r="H62" t="s">
        <v>92</v>
      </c>
    </row>
    <row r="63" spans="1:9" ht="17" thickTop="1" x14ac:dyDescent="0.2">
      <c r="B63" s="34"/>
      <c r="E63" s="36"/>
      <c r="F63" s="36"/>
      <c r="G63" s="36"/>
    </row>
    <row r="64" spans="1:9" ht="17" x14ac:dyDescent="0.2">
      <c r="A64" s="29" t="s">
        <v>60</v>
      </c>
      <c r="B64" s="34"/>
      <c r="E64" s="38" t="s">
        <v>111</v>
      </c>
      <c r="F64" s="38"/>
      <c r="G64" s="38"/>
    </row>
    <row r="65" spans="1:9" ht="18" thickBot="1" x14ac:dyDescent="0.25">
      <c r="A65" s="24" t="s">
        <v>61</v>
      </c>
      <c r="B65" s="33">
        <f>'Income statement '!C6/'Balance Sheet'!D16</f>
        <v>0.65041322314049588</v>
      </c>
      <c r="C65" s="24" t="s">
        <v>103</v>
      </c>
      <c r="E65" s="36" t="s">
        <v>182</v>
      </c>
      <c r="F65" s="36" t="s">
        <v>181</v>
      </c>
      <c r="G65" s="41" t="s">
        <v>140</v>
      </c>
      <c r="H65" t="s">
        <v>92</v>
      </c>
    </row>
    <row r="66" spans="1:9" ht="17" thickTop="1" x14ac:dyDescent="0.2">
      <c r="B66" s="34"/>
      <c r="E66" s="36"/>
      <c r="F66" s="36"/>
      <c r="G66" s="36"/>
    </row>
    <row r="67" spans="1:9" ht="17" x14ac:dyDescent="0.2">
      <c r="A67" s="29" t="s">
        <v>62</v>
      </c>
      <c r="B67" s="34"/>
      <c r="E67" s="38" t="s">
        <v>133</v>
      </c>
      <c r="F67" s="38"/>
      <c r="G67" s="38"/>
    </row>
    <row r="68" spans="1:9" ht="35" thickBot="1" x14ac:dyDescent="0.25">
      <c r="A68" s="24" t="s">
        <v>63</v>
      </c>
      <c r="B68" s="33">
        <f>'Balance Sheet'!D16/'Income statement '!C6</f>
        <v>1.5374841168996187</v>
      </c>
      <c r="C68" s="24" t="s">
        <v>28</v>
      </c>
      <c r="E68" s="36" t="s">
        <v>185</v>
      </c>
      <c r="F68" s="36" t="s">
        <v>184</v>
      </c>
      <c r="G68" s="41" t="s">
        <v>183</v>
      </c>
      <c r="H68" t="s">
        <v>78</v>
      </c>
    </row>
    <row r="69" spans="1:9" ht="17" thickTop="1" x14ac:dyDescent="0.2">
      <c r="B69" s="31"/>
      <c r="E69" s="36"/>
      <c r="F69" s="36"/>
      <c r="G69" s="36"/>
    </row>
    <row r="70" spans="1:9" ht="17" x14ac:dyDescent="0.2">
      <c r="A70" s="28" t="s">
        <v>64</v>
      </c>
      <c r="B70" s="46"/>
      <c r="C70" s="28"/>
      <c r="D70" s="28"/>
      <c r="E70" s="48" t="s">
        <v>115</v>
      </c>
      <c r="F70" s="48"/>
      <c r="G70" s="48"/>
      <c r="H70" s="28"/>
      <c r="I70" s="28"/>
    </row>
    <row r="71" spans="1:9" x14ac:dyDescent="0.2">
      <c r="B71" s="31"/>
      <c r="E71" s="36"/>
      <c r="F71" s="36"/>
      <c r="G71" s="36"/>
    </row>
    <row r="72" spans="1:9" ht="17" x14ac:dyDescent="0.2">
      <c r="A72" s="29" t="s">
        <v>65</v>
      </c>
      <c r="B72" s="31"/>
      <c r="E72" s="38" t="s">
        <v>112</v>
      </c>
      <c r="F72" s="38"/>
      <c r="G72" s="38"/>
    </row>
    <row r="73" spans="1:9" ht="35" thickBot="1" x14ac:dyDescent="0.25">
      <c r="A73" s="24" t="s">
        <v>66</v>
      </c>
      <c r="B73" s="33">
        <f>'Income statement '!C13/'Income statement '!C6</f>
        <v>0.20076238881829733</v>
      </c>
      <c r="C73" s="24" t="s">
        <v>28</v>
      </c>
      <c r="E73" s="36" t="s">
        <v>187</v>
      </c>
      <c r="F73" s="36" t="s">
        <v>186</v>
      </c>
      <c r="G73" s="41" t="s">
        <v>188</v>
      </c>
      <c r="H73" t="s">
        <v>78</v>
      </c>
    </row>
    <row r="74" spans="1:9" ht="17" thickTop="1" x14ac:dyDescent="0.2">
      <c r="B74" s="34"/>
      <c r="E74" s="36"/>
      <c r="F74" s="36"/>
      <c r="G74" s="36"/>
    </row>
    <row r="75" spans="1:9" ht="17" x14ac:dyDescent="0.2">
      <c r="A75" s="29" t="s">
        <v>67</v>
      </c>
      <c r="B75" s="34"/>
      <c r="E75" s="38" t="s">
        <v>113</v>
      </c>
      <c r="F75" s="38"/>
      <c r="G75" s="38"/>
    </row>
    <row r="76" spans="1:9" ht="35" thickBot="1" x14ac:dyDescent="0.25">
      <c r="A76" s="24" t="s">
        <v>68</v>
      </c>
      <c r="B76" s="33">
        <f>'Income statement '!C13/'Balance Sheet'!D16</f>
        <v>0.13057851239669421</v>
      </c>
      <c r="C76" s="24" t="s">
        <v>28</v>
      </c>
      <c r="E76" s="36" t="s">
        <v>190</v>
      </c>
      <c r="F76" s="36" t="s">
        <v>189</v>
      </c>
      <c r="G76" s="41" t="s">
        <v>188</v>
      </c>
      <c r="H76" t="s">
        <v>92</v>
      </c>
    </row>
    <row r="77" spans="1:9" ht="17" thickTop="1" x14ac:dyDescent="0.2">
      <c r="B77" s="34"/>
      <c r="E77" s="36"/>
      <c r="F77" s="36"/>
      <c r="G77" s="36"/>
    </row>
    <row r="78" spans="1:9" ht="17" x14ac:dyDescent="0.2">
      <c r="A78" s="29" t="s">
        <v>69</v>
      </c>
      <c r="B78" s="34"/>
      <c r="E78" s="38" t="s">
        <v>114</v>
      </c>
      <c r="F78" s="38"/>
      <c r="G78" s="38"/>
    </row>
    <row r="79" spans="1:9" ht="18" thickBot="1" x14ac:dyDescent="0.25">
      <c r="A79" s="24" t="s">
        <v>70</v>
      </c>
      <c r="B79" s="33">
        <f>'Income statement '!C13/'Balance Sheet'!D27</f>
        <v>0.18057142857142858</v>
      </c>
      <c r="C79" s="24" t="s">
        <v>28</v>
      </c>
      <c r="E79" s="36" t="s">
        <v>192</v>
      </c>
      <c r="F79" s="36" t="s">
        <v>191</v>
      </c>
      <c r="G79" s="41" t="s">
        <v>150</v>
      </c>
      <c r="H79" t="s">
        <v>78</v>
      </c>
    </row>
    <row r="80" spans="1:9" ht="17" thickTop="1" x14ac:dyDescent="0.2">
      <c r="B80" s="34"/>
      <c r="E80" s="36"/>
    </row>
    <row r="81" spans="1:9" ht="17" x14ac:dyDescent="0.2">
      <c r="A81" s="29" t="s">
        <v>71</v>
      </c>
      <c r="B81" s="34"/>
      <c r="E81" s="38" t="s">
        <v>114</v>
      </c>
      <c r="F81" s="38"/>
      <c r="G81" s="38"/>
    </row>
    <row r="82" spans="1:9" ht="18" thickBot="1" x14ac:dyDescent="0.25">
      <c r="A82" s="24" t="s">
        <v>72</v>
      </c>
      <c r="B82" s="33">
        <f>('Income statement '!C13/'Income statement '!C6)*('Income statement '!C6/'Balance Sheet'!D16)*('Balance Sheet'!D16/'Balance Sheet'!D27)</f>
        <v>0.18057142857142855</v>
      </c>
      <c r="C82" s="24" t="s">
        <v>28</v>
      </c>
      <c r="E82" s="36" t="s">
        <v>93</v>
      </c>
      <c r="F82" s="36" t="s">
        <v>191</v>
      </c>
      <c r="G82" s="41" t="s">
        <v>150</v>
      </c>
      <c r="H82" t="s">
        <v>78</v>
      </c>
    </row>
    <row r="83" spans="1:9" ht="17" thickTop="1" x14ac:dyDescent="0.2">
      <c r="B83" s="34"/>
      <c r="E83" s="36"/>
    </row>
    <row r="84" spans="1:9" ht="17" x14ac:dyDescent="0.2">
      <c r="A84" s="28" t="s">
        <v>73</v>
      </c>
      <c r="B84" s="49"/>
      <c r="C84" s="28"/>
      <c r="D84" s="28"/>
      <c r="E84" s="48" t="s">
        <v>116</v>
      </c>
      <c r="F84" s="48"/>
      <c r="G84" s="48"/>
      <c r="H84" s="28"/>
      <c r="I84" s="28"/>
    </row>
    <row r="85" spans="1:9" x14ac:dyDescent="0.2">
      <c r="B85" s="34"/>
      <c r="E85" s="36"/>
      <c r="F85" s="36"/>
      <c r="G85" s="36"/>
    </row>
    <row r="86" spans="1:9" x14ac:dyDescent="0.2">
      <c r="A86" s="32" t="s">
        <v>79</v>
      </c>
      <c r="B86" s="34">
        <v>115</v>
      </c>
      <c r="E86" s="36"/>
      <c r="F86" s="36"/>
      <c r="G86" s="36"/>
    </row>
    <row r="87" spans="1:9" x14ac:dyDescent="0.2">
      <c r="A87" s="32" t="s">
        <v>82</v>
      </c>
      <c r="B87" s="34">
        <v>33</v>
      </c>
      <c r="E87" s="36"/>
      <c r="F87" s="36"/>
      <c r="G87" s="36"/>
    </row>
    <row r="88" spans="1:9" x14ac:dyDescent="0.2">
      <c r="A88" s="32" t="s">
        <v>89</v>
      </c>
      <c r="B88" s="34">
        <f>'Income statement '!C6/'Financial Ratios'!B87</f>
        <v>71.545454545454547</v>
      </c>
      <c r="E88" s="36"/>
      <c r="F88" s="36"/>
      <c r="G88" s="36"/>
    </row>
    <row r="89" spans="1:9" x14ac:dyDescent="0.2">
      <c r="A89" s="32" t="s">
        <v>90</v>
      </c>
      <c r="B89" s="34">
        <f>'Balance Sheet'!D27/'Financial Ratios'!B87</f>
        <v>79.545454545454547</v>
      </c>
      <c r="E89" s="36"/>
      <c r="F89" s="36"/>
      <c r="G89" s="36"/>
    </row>
    <row r="90" spans="1:9" x14ac:dyDescent="0.2">
      <c r="B90" s="34"/>
      <c r="E90" s="36"/>
      <c r="F90" s="36"/>
      <c r="G90" s="36"/>
    </row>
    <row r="91" spans="1:9" ht="17" x14ac:dyDescent="0.2">
      <c r="A91" s="32" t="s">
        <v>121</v>
      </c>
      <c r="B91" s="34"/>
      <c r="E91" s="38" t="s">
        <v>131</v>
      </c>
      <c r="F91" s="36"/>
      <c r="G91" s="36"/>
    </row>
    <row r="92" spans="1:9" ht="17" thickBot="1" x14ac:dyDescent="0.25">
      <c r="A92" s="35" t="s">
        <v>122</v>
      </c>
      <c r="B92" s="33">
        <f>(B86*B87)+('Balance Sheet'!D23+'Balance Sheet'!D22)-'Balance Sheet'!D10</f>
        <v>4702</v>
      </c>
      <c r="E92" s="36"/>
      <c r="F92" s="36"/>
      <c r="G92" s="36"/>
    </row>
    <row r="93" spans="1:9" ht="18" thickTop="1" x14ac:dyDescent="0.2">
      <c r="A93" s="32" t="s">
        <v>123</v>
      </c>
      <c r="B93" s="34"/>
      <c r="E93" s="39" t="s">
        <v>193</v>
      </c>
      <c r="F93" s="39"/>
      <c r="G93" s="36"/>
    </row>
    <row r="94" spans="1:9" ht="17" thickBot="1" x14ac:dyDescent="0.25">
      <c r="A94" s="35" t="s">
        <v>124</v>
      </c>
      <c r="B94" s="33">
        <f>'Income statement '!C13+'Income statement '!C10+'Income statement '!C12+'Income statement '!C8</f>
        <v>1017</v>
      </c>
      <c r="E94" s="36"/>
      <c r="F94" s="36"/>
      <c r="G94" s="36"/>
    </row>
    <row r="95" spans="1:9" ht="17" thickTop="1" x14ac:dyDescent="0.2">
      <c r="B95" s="34"/>
      <c r="E95" s="36"/>
      <c r="F95" s="36"/>
      <c r="G95" s="36"/>
    </row>
    <row r="96" spans="1:9" ht="17" x14ac:dyDescent="0.2">
      <c r="A96" s="32" t="s">
        <v>80</v>
      </c>
      <c r="B96" s="34"/>
      <c r="E96" s="38" t="s">
        <v>117</v>
      </c>
      <c r="F96" s="38"/>
      <c r="G96" s="38"/>
    </row>
    <row r="97" spans="1:8" ht="35" thickBot="1" x14ac:dyDescent="0.25">
      <c r="A97" s="24" t="s">
        <v>81</v>
      </c>
      <c r="B97" s="33">
        <f>'Income statement '!C13/'Financial Ratios'!B87</f>
        <v>14.363636363636363</v>
      </c>
      <c r="C97" s="24" t="s">
        <v>28</v>
      </c>
      <c r="E97" s="36" t="s">
        <v>196</v>
      </c>
      <c r="F97" s="36" t="s">
        <v>194</v>
      </c>
      <c r="G97" s="41" t="s">
        <v>195</v>
      </c>
      <c r="H97" t="s">
        <v>92</v>
      </c>
    </row>
    <row r="98" spans="1:8" ht="17" thickTop="1" x14ac:dyDescent="0.2">
      <c r="B98" s="34"/>
      <c r="E98" s="36"/>
      <c r="F98" s="36"/>
      <c r="G98" s="36"/>
    </row>
    <row r="99" spans="1:8" ht="34" x14ac:dyDescent="0.2">
      <c r="A99" s="42" t="s">
        <v>74</v>
      </c>
      <c r="B99" s="34"/>
      <c r="E99" s="39" t="s">
        <v>118</v>
      </c>
      <c r="F99" s="39"/>
      <c r="G99" s="39"/>
    </row>
    <row r="100" spans="1:8" ht="35" thickBot="1" x14ac:dyDescent="0.25">
      <c r="A100" s="24" t="s">
        <v>75</v>
      </c>
      <c r="B100" s="33">
        <f>B86/B97</f>
        <v>8.0063291139240516</v>
      </c>
      <c r="C100" s="24" t="s">
        <v>91</v>
      </c>
      <c r="E100" s="36" t="s">
        <v>198</v>
      </c>
      <c r="F100" s="36" t="s">
        <v>197</v>
      </c>
      <c r="G100" s="41" t="s">
        <v>150</v>
      </c>
      <c r="H100" t="s">
        <v>78</v>
      </c>
    </row>
    <row r="101" spans="1:8" ht="17" thickTop="1" x14ac:dyDescent="0.2">
      <c r="B101" s="34"/>
      <c r="E101" s="36"/>
      <c r="F101" s="36"/>
      <c r="G101" s="36"/>
    </row>
    <row r="102" spans="1:8" ht="34" x14ac:dyDescent="0.2">
      <c r="A102" s="32" t="s">
        <v>83</v>
      </c>
      <c r="B102" s="34"/>
      <c r="E102" s="38" t="s">
        <v>201</v>
      </c>
      <c r="F102" s="38"/>
      <c r="G102" s="38"/>
    </row>
    <row r="103" spans="1:8" ht="35" customHeight="1" thickBot="1" x14ac:dyDescent="0.25">
      <c r="A103" s="24" t="s">
        <v>84</v>
      </c>
      <c r="B103" s="33">
        <f>B86/B88</f>
        <v>1.6073697585768743</v>
      </c>
      <c r="C103" s="24" t="s">
        <v>28</v>
      </c>
      <c r="E103" s="36" t="s">
        <v>200</v>
      </c>
      <c r="F103" s="36" t="s">
        <v>199</v>
      </c>
      <c r="G103" s="41" t="s">
        <v>150</v>
      </c>
      <c r="H103" t="s">
        <v>92</v>
      </c>
    </row>
    <row r="104" spans="1:8" ht="17" thickTop="1" x14ac:dyDescent="0.2">
      <c r="B104" s="34"/>
      <c r="E104" s="36"/>
      <c r="F104" s="36"/>
      <c r="G104" s="36"/>
    </row>
    <row r="105" spans="1:8" ht="34" x14ac:dyDescent="0.2">
      <c r="A105" s="42" t="s">
        <v>85</v>
      </c>
      <c r="B105" s="34"/>
      <c r="E105" s="39" t="s">
        <v>120</v>
      </c>
      <c r="F105" s="39"/>
      <c r="G105" s="39"/>
    </row>
    <row r="106" spans="1:8" ht="18" thickBot="1" x14ac:dyDescent="0.25">
      <c r="A106" s="24" t="s">
        <v>86</v>
      </c>
      <c r="B106" s="33">
        <f>B86/B89</f>
        <v>1.4457142857142857</v>
      </c>
      <c r="C106" s="24" t="s">
        <v>28</v>
      </c>
      <c r="E106" s="36" t="s">
        <v>203</v>
      </c>
      <c r="F106" s="36" t="s">
        <v>202</v>
      </c>
      <c r="G106" s="41" t="s">
        <v>150</v>
      </c>
      <c r="H106" t="s">
        <v>78</v>
      </c>
    </row>
    <row r="107" spans="1:8" ht="17" thickTop="1" x14ac:dyDescent="0.2">
      <c r="B107" s="34"/>
      <c r="E107" s="36"/>
      <c r="F107" s="36"/>
      <c r="G107" s="36"/>
    </row>
    <row r="108" spans="1:8" ht="17" x14ac:dyDescent="0.2">
      <c r="A108" s="32" t="s">
        <v>87</v>
      </c>
      <c r="B108" s="34"/>
      <c r="E108" s="38" t="s">
        <v>119</v>
      </c>
      <c r="F108" s="38"/>
      <c r="G108" s="36"/>
    </row>
    <row r="109" spans="1:8" ht="52" thickBot="1" x14ac:dyDescent="0.25">
      <c r="A109" s="24" t="s">
        <v>88</v>
      </c>
      <c r="B109" s="33">
        <f>B92/B94</f>
        <v>4.6234021632251725</v>
      </c>
      <c r="C109" s="24" t="s">
        <v>28</v>
      </c>
      <c r="E109" s="36" t="s">
        <v>205</v>
      </c>
      <c r="F109" s="36" t="s">
        <v>204</v>
      </c>
      <c r="G109" s="41" t="s">
        <v>150</v>
      </c>
      <c r="H109" t="s">
        <v>92</v>
      </c>
    </row>
    <row r="110" spans="1:8" ht="17" thickTop="1" x14ac:dyDescent="0.2"/>
  </sheetData>
  <mergeCells count="3">
    <mergeCell ref="A1:H1"/>
    <mergeCell ref="A2:H2"/>
    <mergeCell ref="A3:H3"/>
  </mergeCells>
  <conditionalFormatting sqref="H13:H124">
    <cfRule type="containsText" dxfId="2" priority="2" operator="containsText" text="Good">
      <formula>NOT(ISERROR(SEARCH("Good",H13)))</formula>
    </cfRule>
    <cfRule type="containsText" dxfId="1" priority="3" operator="containsText" text="Bad">
      <formula>NOT(ISERROR(SEARCH("Bad",H13)))</formula>
    </cfRule>
  </conditionalFormatting>
  <conditionalFormatting sqref="H13:H239">
    <cfRule type="containsText" dxfId="0" priority="1" stopIfTrue="1" operator="containsText" text="Neutral">
      <formula>NOT(ISERROR(SEARCH("Neutral",H13)))</formula>
    </cfRule>
  </conditionalFormatting>
  <hyperlinks>
    <hyperlink ref="G13" r:id="rId1" xr:uid="{C08DBD12-4A51-8A43-96F6-7886B119850F}"/>
    <hyperlink ref="G16" r:id="rId2" xr:uid="{712FFA2E-74C7-5444-BB68-03CA796D0A3C}"/>
    <hyperlink ref="G19" r:id="rId3" xr:uid="{67F3BA74-29BD-F34F-913B-F80D188CF46F}"/>
    <hyperlink ref="G24" r:id="rId4" xr:uid="{7A0A05CE-EBDE-2447-9996-12E947F1FA62}"/>
    <hyperlink ref="G27" r:id="rId5" xr:uid="{3BC34FA2-8E9C-734A-ADB5-FD6DCEC6045A}"/>
    <hyperlink ref="G30" r:id="rId6" xr:uid="{B0E83F56-81D6-6947-B5E2-ABF641F929E0}"/>
    <hyperlink ref="G33" r:id="rId7" xr:uid="{802AF00F-BB89-EF49-A859-2FF1BD89F3A3}"/>
    <hyperlink ref="G36" r:id="rId8" xr:uid="{1EEABA52-1C47-DC4C-AFE8-2F7845ECD7DC}"/>
    <hyperlink ref="G41" r:id="rId9" xr:uid="{A854486B-3908-9E4A-9828-755733FB2EA4}"/>
    <hyperlink ref="G44" r:id="rId10" xr:uid="{83ACA2C3-B35F-404F-A45C-1E6E152F11DB}"/>
    <hyperlink ref="G47" r:id="rId11" xr:uid="{CF58EA34-1986-7840-94DA-3D2B1025BF49}"/>
    <hyperlink ref="G50" r:id="rId12" xr:uid="{D10F85E3-412A-EB40-93C5-1E79126C0C56}"/>
    <hyperlink ref="G56" r:id="rId13" xr:uid="{D6C63D1B-6EBC-E64C-BC3B-A64B0A088F7D}"/>
    <hyperlink ref="G59" r:id="rId14" xr:uid="{14360A24-2D11-4940-B692-48A60338AEBB}"/>
    <hyperlink ref="G65" r:id="rId15" xr:uid="{00E1B7F6-E7D8-DE48-B2B7-D7E03F92124C}"/>
    <hyperlink ref="G68" r:id="rId16" xr:uid="{FB152F3B-E2A5-374A-A62D-48672753089A}"/>
    <hyperlink ref="G73" r:id="rId17" xr:uid="{7E9C7469-1B6A-D24A-8B35-784BD73E441E}"/>
    <hyperlink ref="G76" r:id="rId18" xr:uid="{C6CDA786-F58D-574D-B258-36AF0B5348FF}"/>
    <hyperlink ref="G79" r:id="rId19" xr:uid="{FE94C803-6A7C-E44A-B812-1F5B35CBCBF4}"/>
    <hyperlink ref="G82" r:id="rId20" xr:uid="{BFD6ECFA-B2CB-0948-9C80-1F711E9049D9}"/>
    <hyperlink ref="G97" r:id="rId21" xr:uid="{F5633608-BB91-2142-BBF9-2F55C6BB06F7}"/>
    <hyperlink ref="G100" r:id="rId22" xr:uid="{56C4CBC3-F623-AA46-8E8B-629DFA082BEB}"/>
    <hyperlink ref="G103" r:id="rId23" xr:uid="{522B8A42-91C4-E044-A015-5C27B5A5E229}"/>
    <hyperlink ref="G106" r:id="rId24" xr:uid="{A084B025-13EE-C04F-946F-5A415D8BDEDF}"/>
    <hyperlink ref="G109" r:id="rId25" xr:uid="{1EBAF8F3-433B-4D43-9F6C-488B6C295A2F}"/>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Income statement </vt:lpstr>
      <vt:lpstr>Balance Sheet</vt:lpstr>
      <vt:lpstr>Financial 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Arturo Fraile Beltran</dc:creator>
  <cp:lastModifiedBy>Arturo Fraile Beltran</cp:lastModifiedBy>
  <dcterms:created xsi:type="dcterms:W3CDTF">2025-01-19T00:58:53Z</dcterms:created>
  <dcterms:modified xsi:type="dcterms:W3CDTF">2025-04-14T19:12:28Z</dcterms:modified>
</cp:coreProperties>
</file>